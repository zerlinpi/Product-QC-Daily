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2" autoFilterDateGrouping="1"/>
  </bookViews>
  <sheets>
    <sheet name="成品日检表报表" sheetId="1" state="hidden" r:id="rId1"/>
    <sheet name="成品日检表" sheetId="2" state="visible" r:id="rId2"/>
    <sheet name="数据分析表" sheetId="3" state="visible" r:id="rId3"/>
    <sheet name="工具" sheetId="4" state="visible" r:id="rId4"/>
  </sheets>
  <definedNames>
    <definedName name="WebWps_Form">成品日检表报表!$A$1:$J$295</definedName>
    <definedName name="WebWps_Form_RhS4ZQP58FdX24OE">成品日检表!$A$1:$K$465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微软雅黑"/>
      <charset val="134"/>
      <color theme="1"/>
      <sz val="11"/>
    </font>
    <font>
      <name val="微软雅黑"/>
      <charset val="134"/>
      <color theme="1"/>
      <sz val="10"/>
    </font>
    <font>
      <name val="微软雅黑"/>
      <charset val="134"/>
      <color rgb="FF000000"/>
      <sz val="10"/>
    </font>
    <font>
      <name val="微软雅黑"/>
      <charset val="134"/>
      <color rgb="FF000000"/>
      <sz val="14"/>
    </font>
    <font>
      <name val="微软雅黑"/>
      <charset val="134"/>
      <color theme="1"/>
      <sz val="12"/>
    </font>
    <font>
      <name val="微软雅黑"/>
      <charset val="134"/>
      <color theme="1"/>
      <sz val="14"/>
    </font>
    <font>
      <name val="微软雅黑"/>
      <charset val="134"/>
      <color rgb="FF000000"/>
      <sz val="16"/>
    </font>
    <font>
      <name val="微软雅黑"/>
      <charset val="134"/>
      <color rgb="FF000000"/>
      <sz val="18"/>
    </font>
    <font>
      <name val="Arial"/>
      <charset val="134"/>
      <color rgb="FF191B1F"/>
      <sz val="11.25"/>
    </font>
    <font>
      <name val="Arial"/>
      <charset val="134"/>
      <color rgb="FF191B1F"/>
      <sz val="11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3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4" borderId="5" applyAlignment="1">
      <alignment vertical="center"/>
    </xf>
    <xf numFmtId="0" fontId="19" fillId="5" borderId="6" applyAlignment="1">
      <alignment vertical="center"/>
    </xf>
    <xf numFmtId="0" fontId="20" fillId="5" borderId="5" applyAlignment="1">
      <alignment vertical="center"/>
    </xf>
    <xf numFmtId="0" fontId="21" fillId="6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</cellStyleXfs>
  <cellXfs count="4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distributed"/>
    </xf>
    <xf numFmtId="0" fontId="1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distributed"/>
    </xf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1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22" fontId="1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1" fillId="0" borderId="0" applyAlignment="1" pivotButton="0" quotePrefix="1" xfId="0">
      <alignment horizontal="center" vertical="center"/>
    </xf>
    <xf numFmtId="49" fontId="1" fillId="0" borderId="0" applyAlignment="1" pivotButton="0" quotePrefix="1" xfId="0">
      <alignment horizontal="center" vertical="center"/>
    </xf>
    <xf numFmtId="0" fontId="1" fillId="0" borderId="0" applyAlignment="1" pivotButton="0" quotePrefix="1" xfId="0">
      <alignment vertical="center"/>
    </xf>
    <xf numFmtId="0" fontId="1" fillId="0" borderId="0" applyAlignment="1" pivotButton="0" quotePrefix="1" xfId="0">
      <alignment horizontal="center" vertical="center"/>
    </xf>
    <xf numFmtId="49" fontId="1" fillId="0" borderId="0" applyAlignment="1" pivotButton="0" quotePrefix="1" xfId="0">
      <alignment horizontal="center" vertical="center"/>
    </xf>
    <xf numFmtId="49" fontId="2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返工批次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230039286793593"/>
          <y val="0.104109589041096"/>
          <w val="0.95871123155676"/>
          <h val="0.432146118721461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rgbClr val="FF0000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数据分析表!$E$4:$E$11</f>
            </strRef>
          </cat>
          <val>
            <numRef>
              <f>数据分析表!$F$4:$F$11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616496748"/>
        <axId val="27574989"/>
      </barChart>
      <catAx>
        <axId val="616496748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7574989"/>
        <crosses val="autoZero"/>
        <auto val="1"/>
        <lblAlgn val="ctr"/>
        <lblOffset val="100"/>
        <noMultiLvlLbl val="0"/>
      </catAx>
      <valAx>
        <axId val="2757498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61649674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抽检状况统计表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FF0000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数据分析表!$H$3:$K$3</f>
            </strRef>
          </cat>
          <val>
            <numRef>
              <f>数据分析表!$H$4:$K$4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731071656"/>
        <axId val="503185410"/>
      </barChart>
      <catAx>
        <axId val="731071656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503185410"/>
        <crosses val="autoZero"/>
        <auto val="1"/>
        <lblAlgn val="ctr"/>
        <lblOffset val="100"/>
        <noMultiLvlLbl val="0"/>
      </catAx>
      <valAx>
        <axId val="50318541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73107165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不良项汇总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FF0000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数据分析表!$A$4:$A$27</f>
            </strRef>
          </cat>
          <val>
            <numRef>
              <f>数据分析表!$B$4:$B$27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35544323"/>
        <axId val="648306811"/>
      </barChart>
      <catAx>
        <axId val="135544323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648306811"/>
        <crosses val="autoZero"/>
        <auto val="1"/>
        <lblAlgn val="ctr"/>
        <lblOffset val="100"/>
        <noMultiLvlLbl val="0"/>
      </catAx>
      <valAx>
        <axId val="6483068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355443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抽检状况统计表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FF0000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数据分析表!$H$33:$K$33</f>
            </strRef>
          </cat>
          <val>
            <numRef>
              <f>数据分析表!$H$34:$K$34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731071656"/>
        <axId val="503185410"/>
      </barChart>
      <catAx>
        <axId val="731071656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503185410"/>
        <crosses val="autoZero"/>
        <auto val="1"/>
        <lblAlgn val="ctr"/>
        <lblOffset val="100"/>
        <noMultiLvlLbl val="0"/>
      </catAx>
      <valAx>
        <axId val="50318541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73107165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每周抽检不良项目统计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FF0000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数据分析表!$A$34:$A$57</f>
            </strRef>
          </cat>
          <val>
            <numRef>
              <f>数据分析表!$B$34:$B$57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965444067"/>
        <axId val="789959763"/>
      </barChart>
      <catAx>
        <axId val="96544406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789959763"/>
        <crosses val="autoZero"/>
        <auto val="1"/>
        <lblAlgn val="ctr"/>
        <lblOffset val="100"/>
        <noMultiLvlLbl val="0"/>
      </catAx>
      <valAx>
        <axId val="78995976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96544406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每周返工批次统计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FF0000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数据分析表!$E$34:$E$41</f>
            </strRef>
          </cat>
          <val>
            <numRef>
              <f>数据分析表!$F$34:$F$41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278395373"/>
        <axId val="922167448"/>
      </barChart>
      <catAx>
        <axId val="278395373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922167448"/>
        <crosses val="autoZero"/>
        <auto val="1"/>
        <lblAlgn val="ctr"/>
        <lblOffset val="100"/>
        <noMultiLvlLbl val="0"/>
      </catAx>
      <valAx>
        <axId val="9221674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7839537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3175</colOff>
      <row>12</row>
      <rowOff>69850</rowOff>
    </from>
    <to>
      <col>11</col>
      <colOff>41275</colOff>
      <row>17</row>
      <rowOff>117475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0</colOff>
      <row>4</row>
      <rowOff>60325</rowOff>
    </from>
    <to>
      <col>11</col>
      <colOff>22225</colOff>
      <row>12</row>
      <rowOff>3175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4</col>
      <colOff>9525</colOff>
      <row>17</row>
      <rowOff>155575</rowOff>
    </from>
    <to>
      <col>11</col>
      <colOff>57150</colOff>
      <row>27</row>
      <rowOff>212725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7</col>
      <colOff>0</colOff>
      <row>34</row>
      <rowOff>60325</rowOff>
    </from>
    <to>
      <col>11</col>
      <colOff>22225</colOff>
      <row>41</row>
      <rowOff>222250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3</col>
      <colOff>692150</colOff>
      <row>49</row>
      <rowOff>384175</rowOff>
    </from>
    <to>
      <col>11</col>
      <colOff>2540</colOff>
      <row>57</row>
      <rowOff>231775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3</col>
      <colOff>692150</colOff>
      <row>42</row>
      <rowOff>47625</rowOff>
    </from>
    <to>
      <col>11</col>
      <colOff>12065</colOff>
      <row>49</row>
      <rowOff>333375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activeCell="A1" sqref="A1"/>
      <selection pane="bottomLeft" activeCell="J10" sqref="J10"/>
    </sheetView>
  </sheetViews>
  <sheetFormatPr baseColWidth="8" defaultColWidth="11" defaultRowHeight="16.5"/>
  <cols>
    <col width="11" customWidth="1" style="25" min="1" max="1"/>
    <col width="14.2222222222222" customWidth="1" style="25" min="2" max="2"/>
    <col width="11" customWidth="1" style="23" min="3" max="3"/>
    <col width="23.3333333333333" customWidth="1" style="23" min="4" max="4"/>
    <col width="11" customWidth="1" style="23" min="5" max="7"/>
    <col width="16" customWidth="1" style="36" min="8" max="8"/>
    <col width="11" customWidth="1" style="23" min="9" max="9"/>
    <col width="11.1111111111111" customWidth="1" style="25" min="10" max="10"/>
    <col width="11" customWidth="1" style="25" min="11" max="16384"/>
  </cols>
  <sheetData>
    <row r="1">
      <c r="A1" s="41" t="inlineStr">
        <is>
          <t>填写ID</t>
        </is>
      </c>
      <c r="B1" s="41" t="inlineStr">
        <is>
          <t>时间</t>
        </is>
      </c>
      <c r="C1" s="42" t="inlineStr">
        <is>
          <t>检验:组别</t>
        </is>
      </c>
      <c r="D1" s="42" t="inlineStr">
        <is>
          <t>检验:加工单号</t>
        </is>
      </c>
      <c r="E1" s="42" t="inlineStr">
        <is>
          <t>检验:检验数量</t>
        </is>
      </c>
      <c r="F1" s="42" t="inlineStr">
        <is>
          <t>检验:抽检数</t>
        </is>
      </c>
      <c r="G1" s="42" t="inlineStr">
        <is>
          <t>检验:不良数</t>
        </is>
      </c>
      <c r="H1" s="43" t="inlineStr">
        <is>
          <t>检验:不良项目</t>
        </is>
      </c>
      <c r="I1" s="42" t="inlineStr">
        <is>
          <t>检验:判定</t>
        </is>
      </c>
      <c r="J1" s="41" t="inlineStr">
        <is>
          <t>签名:图片</t>
        </is>
      </c>
    </row>
    <row r="2" ht="34.45" customHeight="1" s="45">
      <c r="A2" s="41" t="n"/>
      <c r="B2" s="34" t="n"/>
      <c r="C2" s="42" t="n"/>
      <c r="D2" s="42" t="n"/>
      <c r="E2" s="23" t="n"/>
      <c r="F2" s="23" t="n"/>
      <c r="G2" s="23" t="n"/>
      <c r="H2" s="35" t="n"/>
      <c r="I2" s="42" t="n"/>
      <c r="J2" s="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topLeftCell="B453" workbookViewId="0">
      <selection activeCell="I454" sqref="I454:I455"/>
    </sheetView>
  </sheetViews>
  <sheetFormatPr baseColWidth="8" defaultColWidth="11" defaultRowHeight="16.5"/>
  <cols>
    <col hidden="1" width="11" customWidth="1" style="25" min="1" max="1"/>
    <col width="14.2222222222222" customWidth="1" style="25" min="2" max="2"/>
    <col width="11" customWidth="1" style="25" min="3" max="3"/>
    <col width="22.7777777777778" customWidth="1" style="25" min="4" max="4"/>
    <col width="11" customWidth="1" style="25" min="5" max="9"/>
    <col width="11.1111111111111" customWidth="1" style="25" min="10" max="13"/>
    <col width="11" customWidth="1" style="25" min="14" max="16384"/>
  </cols>
  <sheetData>
    <row r="1">
      <c r="A1" s="41" t="inlineStr">
        <is>
          <t>填写ID</t>
        </is>
      </c>
      <c r="B1" s="41" t="inlineStr">
        <is>
          <t>时间</t>
        </is>
      </c>
      <c r="C1" s="41" t="inlineStr">
        <is>
          <t>检验:组别</t>
        </is>
      </c>
      <c r="D1" s="41" t="inlineStr">
        <is>
          <t>检验:加工单号</t>
        </is>
      </c>
      <c r="E1" s="41" t="inlineStr">
        <is>
          <t>检验:检验数量</t>
        </is>
      </c>
      <c r="F1" s="41" t="inlineStr">
        <is>
          <t>检验:抽检数</t>
        </is>
      </c>
      <c r="G1" s="41" t="inlineStr">
        <is>
          <t>检验:不良数</t>
        </is>
      </c>
      <c r="H1" s="41" t="inlineStr">
        <is>
          <t>检验:不良项目</t>
        </is>
      </c>
      <c r="I1" s="41" t="inlineStr">
        <is>
          <t>检验:判定</t>
        </is>
      </c>
      <c r="J1" s="41" t="inlineStr">
        <is>
          <t>签名:图片</t>
        </is>
      </c>
      <c r="K1" s="41" t="inlineStr">
        <is>
          <t>反馈单:图片_1</t>
        </is>
      </c>
    </row>
    <row r="2" ht="34.45" customHeight="1" s="45">
      <c r="A2" s="41" t="n"/>
      <c r="B2" s="34" t="n"/>
      <c r="C2" s="42" t="n"/>
      <c r="D2" s="42" t="n"/>
      <c r="E2" s="23" t="n"/>
      <c r="F2" s="23" t="n"/>
      <c r="G2" s="23" t="n"/>
      <c r="H2" s="35" t="n"/>
      <c r="I2" s="42" t="n"/>
      <c r="J2" s="2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M61"/>
  <sheetViews>
    <sheetView tabSelected="1" topLeftCell="A11" zoomScale="90" zoomScaleNormal="90" workbookViewId="0">
      <selection activeCell="L28" sqref="L28"/>
    </sheetView>
  </sheetViews>
  <sheetFormatPr baseColWidth="8" defaultColWidth="11.3333333333333" defaultRowHeight="16.5"/>
  <cols>
    <col width="11.3333333333333" customWidth="1" style="25" min="1" max="3"/>
    <col width="4" customWidth="1" style="25" min="4" max="4"/>
    <col width="16.9333333333333" customWidth="1" style="25" min="5" max="5"/>
    <col width="21.0888888888889" customWidth="1" style="25" min="6" max="6"/>
    <col width="9.555555555555561" customWidth="1" style="25" min="7" max="7"/>
    <col width="16.8888888888889" customWidth="1" style="23" min="8" max="8"/>
    <col width="15.8888888888889" customWidth="1" style="23" min="9" max="9"/>
    <col width="30" customWidth="1" style="23" min="10" max="10"/>
    <col width="11.7777777777778" customWidth="1" style="25" min="11" max="11"/>
    <col width="12" customWidth="1" style="25" min="12" max="12"/>
    <col width="16.8888888888889" customWidth="1" style="25" min="13" max="13"/>
    <col width="11.3333333333333" customWidth="1" style="25" min="14" max="16384"/>
  </cols>
  <sheetData>
    <row r="1" ht="33.75" customHeight="1" s="45">
      <c r="A1" s="5" t="inlineStr">
        <is>
          <t>本日日期</t>
        </is>
      </c>
      <c r="B1" s="6">
        <f>TODAY()</f>
        <v/>
      </c>
      <c r="C1" s="7" t="n"/>
      <c r="E1" s="10" t="inlineStr">
        <is>
          <t>周别</t>
        </is>
      </c>
      <c r="F1" s="9">
        <f>WEEKNUM(B1,2)</f>
        <v/>
      </c>
      <c r="L1" s="46" t="inlineStr">
        <is>
          <t>开始日期（含）</t>
        </is>
      </c>
      <c r="M1" s="46" t="inlineStr">
        <is>
          <t>结束日期（含）</t>
        </is>
      </c>
    </row>
    <row r="2" ht="22.5" customHeight="1" s="45">
      <c r="A2" s="10">
        <f>IF(AND(YEAR(L2)=YEAR(M2),MONTH(L2)=MONTH(M2)),MONTH(L2),"区间")</f>
        <v/>
      </c>
      <c r="B2" s="10" t="inlineStr">
        <is>
          <t>月出货抽检不良统计表</t>
        </is>
      </c>
      <c r="E2" s="12">
        <f>$A$2</f>
        <v/>
      </c>
      <c r="F2" s="12" t="inlineStr">
        <is>
          <t>月各组返工批次统计</t>
        </is>
      </c>
      <c r="H2" s="12">
        <f>$A$2</f>
        <v/>
      </c>
      <c r="I2" s="21" t="inlineStr">
        <is>
          <t>月检验数据表</t>
        </is>
      </c>
      <c r="J2" s="21" t="n"/>
      <c r="L2" s="47" t="n">
        <v>46023</v>
      </c>
      <c r="M2" s="47" t="n">
        <v>46053</v>
      </c>
    </row>
    <row r="3">
      <c r="A3" s="13" t="inlineStr">
        <is>
          <t>项              目</t>
        </is>
      </c>
      <c r="B3" s="14" t="inlineStr">
        <is>
          <t>不良批次</t>
        </is>
      </c>
      <c r="C3" s="14" t="inlineStr">
        <is>
          <t>排名</t>
        </is>
      </c>
      <c r="E3" s="14" t="inlineStr">
        <is>
          <t>组别</t>
        </is>
      </c>
      <c r="F3" s="14" t="inlineStr">
        <is>
          <t>返工批次</t>
        </is>
      </c>
      <c r="H3" s="14" t="inlineStr">
        <is>
          <t>检验数量</t>
        </is>
      </c>
      <c r="I3" s="14" t="inlineStr">
        <is>
          <t>抽检数</t>
        </is>
      </c>
      <c r="J3" s="14" t="inlineStr">
        <is>
          <t>不良数</t>
        </is>
      </c>
      <c r="K3" s="14" t="inlineStr">
        <is>
          <t>不良率</t>
        </is>
      </c>
    </row>
    <row r="4">
      <c r="A4" s="15" t="inlineStr">
        <is>
          <t>端子包角不良</t>
        </is>
      </c>
      <c r="B4" s="2">
        <f>COUNTIFS('成品日检表'!$B$2:$B$2,"&gt;="&amp;$L$2,'成品日检表'!$B$2:$B$2,"&lt;"&amp;($M$2+1),'成品日检表'!$H$2:$H$2,"*a*")</f>
        <v/>
      </c>
      <c r="C4" s="2">
        <f>RANK(B4,$B$4:$B$27,0)</f>
        <v/>
      </c>
      <c r="E4" s="14" t="inlineStr">
        <is>
          <t>U1</t>
        </is>
      </c>
      <c r="F4" s="2">
        <f>COUNTIFS('成品日检表'!$B$2:$B$2,"&gt;="&amp;$L$2,'成品日检表'!$B$2:$B$2,"&lt;"&amp;($M$2+1),'成品日检表'!$C$2:$C$2,E4,'成品日检表'!$I$2:$I$2,"返工")</f>
        <v/>
      </c>
      <c r="H4" s="2">
        <f>SUMIFS('成品日检表'!$E$2:$E$2,'成品日检表'!$B$2:$B$2,"&gt;="&amp;$L$2,'成品日检表'!$B$2:$B$2,"&lt;"&amp;($M$2+1))</f>
        <v/>
      </c>
      <c r="I4" s="2">
        <f>SUMIFS('成品日检表'!$F$2:$F$2,'成品日检表'!$B$2:$B$2,"&gt;="&amp;$L$2,'成品日检表'!$B$2:$B$2,"&lt;"&amp;($M$2+1))</f>
        <v/>
      </c>
      <c r="J4" s="2">
        <f>SUMIFS('成品日检表'!$G$2:$G$2,'成品日检表'!$B$2:$B$2,"&gt;="&amp;$L$2,'成品日检表'!$B$2:$B$2,"&lt;"&amp;($M$2+1))</f>
        <v/>
      </c>
      <c r="K4" s="22">
        <f>IFERROR(J4/I4,0)</f>
        <v/>
      </c>
    </row>
    <row r="5">
      <c r="A5" s="15" t="inlineStr">
        <is>
          <t>走线槽漏扎带</t>
        </is>
      </c>
      <c r="B5" s="2">
        <f>COUNTIFS('成品日检表'!$B$2:$B$2,"&gt;="&amp;$L$2,'成品日检表'!$B$2:$B$2,"&lt;"&amp;($M$2+1),'成品日检表'!$H$2:$H$2,"*b*")</f>
        <v/>
      </c>
      <c r="C5" s="2">
        <f>RANK(B5,$B$4:$B$27,0)</f>
        <v/>
      </c>
      <c r="E5" s="14" t="inlineStr">
        <is>
          <t>U2</t>
        </is>
      </c>
      <c r="F5" s="2">
        <f>COUNTIFS('成品日检表'!$B$2:$B$2,"&gt;="&amp;$L$2,'成品日检表'!$B$2:$B$2,"&lt;"&amp;($M$2+1),'成品日检表'!$C$2:$C$2,E5,'成品日检表'!$I$2:$I$2,"返工")</f>
        <v/>
      </c>
    </row>
    <row r="6">
      <c r="A6" s="15" t="inlineStr">
        <is>
          <t>漏锁片</t>
        </is>
      </c>
      <c r="B6" s="2">
        <f>COUNTIFS('成品日检表'!$B$2:$B$2,"&gt;="&amp;$L$2,'成品日检表'!$B$2:$B$2,"&lt;"&amp;($M$2+1),'成品日检表'!$H$2:$H$2,"*c*")</f>
        <v/>
      </c>
      <c r="C6" s="2">
        <f>RANK(B6,$B$4:$B$27,0)</f>
        <v/>
      </c>
      <c r="E6" s="14" t="inlineStr">
        <is>
          <t>U3</t>
        </is>
      </c>
      <c r="F6" s="2">
        <f>COUNTIFS('成品日检表'!$B$2:$B$2,"&gt;="&amp;$L$2,'成品日检表'!$B$2:$B$2,"&lt;"&amp;($M$2+1),'成品日检表'!$C$2:$C$2,E6,'成品日检表'!$I$2:$I$2,"返工")</f>
        <v/>
      </c>
    </row>
    <row r="7">
      <c r="A7" s="15" t="inlineStr">
        <is>
          <t>漏扣卡扣</t>
        </is>
      </c>
      <c r="B7" s="16">
        <f>COUNTIFS('成品日检表'!$B$2:$B$2,"&gt;="&amp;$L$2,'成品日检表'!$B$2:$B$2,"&lt;"&amp;($M$2+1),'成品日检表'!$H$2:$H$2,"*d*")</f>
        <v/>
      </c>
      <c r="C7" s="2">
        <f>RANK(B7,$B$4:$B$27,0)</f>
        <v/>
      </c>
      <c r="E7" s="14" t="inlineStr">
        <is>
          <t>U4</t>
        </is>
      </c>
      <c r="F7" s="2">
        <f>COUNTIFS('成品日检表'!$B$2:$B$2,"&gt;="&amp;$L$2,'成品日检表'!$B$2:$B$2,"&lt;"&amp;($M$2+1),'成品日检表'!$C$2:$C$2,E7,'成品日检表'!$I$2:$I$2,"返工")</f>
        <v/>
      </c>
    </row>
    <row r="8">
      <c r="A8" s="15" t="inlineStr">
        <is>
          <t>漏剪扎带</t>
        </is>
      </c>
      <c r="B8" s="16">
        <f>COUNTIFS('成品日检表'!$B$2:$B$2,"&gt;="&amp;$L$2,'成品日检表'!$B$2:$B$2,"&lt;"&amp;($M$2+1),'成品日检表'!$H$2:$H$2,"*e*")</f>
        <v/>
      </c>
      <c r="C8" s="2">
        <f>RANK(B8,$B$4:$B$27,0)</f>
        <v/>
      </c>
      <c r="E8" s="14" t="inlineStr">
        <is>
          <t>U5</t>
        </is>
      </c>
      <c r="F8" s="2">
        <f>COUNTIFS('成品日检表'!$B$2:$B$2,"&gt;="&amp;$L$2,'成品日检表'!$B$2:$B$2,"&lt;"&amp;($M$2+1),'成品日检表'!$C$2:$C$2,E8,'成品日检表'!$I$2:$I$2,"返工")</f>
        <v/>
      </c>
    </row>
    <row r="9">
      <c r="A9" s="15" t="inlineStr">
        <is>
          <t>插入不足</t>
        </is>
      </c>
      <c r="B9" s="2">
        <f>COUNTIFS('成品日检表'!$B$2:$B$2,"&gt;="&amp;$L$2,'成品日检表'!$B$2:$B$2,"&lt;"&amp;($M$2+1),'成品日检表'!$H$2:$H$2,"*f*")</f>
        <v/>
      </c>
      <c r="C9" s="2">
        <f>RANK(B9,$B$4:$B$27,0)</f>
        <v/>
      </c>
      <c r="E9" s="14" t="inlineStr">
        <is>
          <t>U6</t>
        </is>
      </c>
      <c r="F9" s="2">
        <f>COUNTIFS('成品日检表'!$B$2:$B$2,"&gt;="&amp;$L$2,'成品日检表'!$B$2:$B$2,"&lt;"&amp;($M$2+1),'成品日检表'!$C$2:$C$2,E9,'成品日检表'!$I$2:$I$2,"返工")</f>
        <v/>
      </c>
    </row>
    <row r="10">
      <c r="A10" s="15" t="inlineStr">
        <is>
          <t>漏胶</t>
        </is>
      </c>
      <c r="B10" s="16">
        <f>COUNTIFS('成品日检表'!$B$2:$B$2,"&gt;="&amp;$L$2,'成品日检表'!$B$2:$B$2,"&lt;"&amp;($M$2+1),'成品日检表'!$H$2:$H$2,"*g*")</f>
        <v/>
      </c>
      <c r="C10" s="2">
        <f>RANK(B10,$B$4:$B$27,0)</f>
        <v/>
      </c>
      <c r="E10" s="14" t="inlineStr">
        <is>
          <t>U7</t>
        </is>
      </c>
      <c r="F10" s="2">
        <f>COUNTIFS('成品日检表'!$B$2:$B$2,"&gt;="&amp;$L$2,'成品日检表'!$B$2:$B$2,"&lt;"&amp;($M$2+1),'成品日检表'!$C$2:$C$2,E10,'成品日检表'!$I$2:$I$2,"返工")</f>
        <v/>
      </c>
    </row>
    <row r="11">
      <c r="A11" s="15" t="inlineStr">
        <is>
          <t>组付漏扎带</t>
        </is>
      </c>
      <c r="B11" s="2">
        <f>COUNTIFS('成品日检表'!$B$2:$B$2,"&gt;="&amp;$L$2,'成品日检表'!$B$2:$B$2,"&lt;"&amp;($M$2+1),'成品日检表'!$H$2:$H$2,"*h*")</f>
        <v/>
      </c>
      <c r="C11" s="2">
        <f>RANK(B11,$B$4:$B$27,0)</f>
        <v/>
      </c>
      <c r="E11" s="14" t="inlineStr">
        <is>
          <t>U8</t>
        </is>
      </c>
      <c r="F11" s="2">
        <f>COUNTIFS('成品日检表'!$B$2:$B$2,"&gt;="&amp;$L$2,'成品日检表'!$B$2:$B$2,"&lt;"&amp;($M$2+1),'成品日检表'!$C$2:$C$2,E11,'成品日检表'!$I$2:$I$2,"返工")</f>
        <v/>
      </c>
    </row>
    <row r="12">
      <c r="A12" s="15" t="inlineStr">
        <is>
          <t>漏海绵</t>
        </is>
      </c>
      <c r="B12" s="2">
        <f>COUNTIFS('成品日检表'!$B$2:$B$2,"&gt;="&amp;$L$2,'成品日检表'!$B$2:$B$2,"&lt;"&amp;($M$2+1),'成品日检表'!$H$2:$H$2,"*i*")</f>
        <v/>
      </c>
      <c r="C12" s="2">
        <f>RANK(B12,$B$4:$B$27,0)</f>
        <v/>
      </c>
      <c r="E12" s="14" t="inlineStr">
        <is>
          <t>合计</t>
        </is>
      </c>
      <c r="F12" s="2">
        <f>SUM(F4:F11)</f>
        <v/>
      </c>
    </row>
    <row r="13">
      <c r="A13" s="15" t="inlineStr">
        <is>
          <t>组付尺寸不良</t>
        </is>
      </c>
      <c r="B13" s="2">
        <f>COUNTIFS('成品日检表'!$B$2:$B$2,"&gt;="&amp;$L$2,'成品日检表'!$B$2:$B$2,"&lt;"&amp;($M$2+1),'成品日检表'!$H$2:$H$2,"*j*")</f>
        <v/>
      </c>
      <c r="C13" s="2">
        <f>RANK(B13,$B$4:$B$27,0)</f>
        <v/>
      </c>
    </row>
    <row r="14" ht="24.75" customHeight="1" s="45">
      <c r="A14" s="15" t="inlineStr">
        <is>
          <t>走线槽尺寸不良</t>
        </is>
      </c>
      <c r="B14" s="2">
        <f>COUNTIFS('成品日检表'!$B$2:$B$2,"&gt;="&amp;$L$2,'成品日检表'!$B$2:$B$2,"&lt;"&amp;($M$2+1),'成品日检表'!$H$2:$H$2,"*k*")</f>
        <v/>
      </c>
      <c r="C14" s="2">
        <f>RANK(B14,$B$4:$B$27,0)</f>
        <v/>
      </c>
      <c r="H14" s="17" t="n"/>
      <c r="I14" s="17" t="n"/>
      <c r="J14" s="17" t="n"/>
    </row>
    <row r="15">
      <c r="A15" s="15" t="inlineStr">
        <is>
          <t>热缩管不良</t>
        </is>
      </c>
      <c r="B15" s="2">
        <f>COUNTIFS('成品日检表'!$B$2:$B$2,"&gt;="&amp;$L$2,'成品日检表'!$B$2:$B$2,"&lt;"&amp;($M$2+1),'成品日检表'!$H$2:$H$2,"*l*")</f>
        <v/>
      </c>
      <c r="C15" s="2">
        <f>RANK(B15,$B$4:$B$27,0)</f>
        <v/>
      </c>
      <c r="H15" s="29" t="n"/>
      <c r="I15" s="29" t="n"/>
      <c r="J15" s="29" t="n"/>
    </row>
    <row r="16">
      <c r="A16" s="15" t="inlineStr">
        <is>
          <t>端子反插</t>
        </is>
      </c>
      <c r="B16" s="2">
        <f>COUNTIFS('成品日检表'!$B$2:$B$2,"&gt;="&amp;$L$2,'成品日检表'!$B$2:$B$2,"&lt;"&amp;($M$2+1),'成品日检表'!$H$2:$H$2,"*m*")</f>
        <v/>
      </c>
      <c r="C16" s="2">
        <f>RANK(B16,$B$4:$B$27,0)</f>
        <v/>
      </c>
      <c r="H16" s="29" t="n"/>
      <c r="I16" s="23" t="n"/>
      <c r="J16" s="24" t="n"/>
    </row>
    <row r="17">
      <c r="A17" s="15" t="inlineStr">
        <is>
          <t>端子变形</t>
        </is>
      </c>
      <c r="B17" s="2">
        <f>COUNTIFS('成品日检表'!$B$2:$B$2,"&gt;="&amp;$L$2,'成品日检表'!$B$2:$B$2,"&lt;"&amp;($M$2+1),'成品日检表'!$H$2:$H$2,"*n*")</f>
        <v/>
      </c>
      <c r="C17" s="2">
        <f>RANK(B17,$B$4:$B$27,0)</f>
        <v/>
      </c>
      <c r="H17" s="29" t="n"/>
      <c r="I17" s="23" t="n"/>
      <c r="J17" s="25" t="n"/>
      <c r="M17" s="25" t="n"/>
    </row>
    <row r="18">
      <c r="A18" s="15" t="inlineStr">
        <is>
          <t>漏装塑壳</t>
        </is>
      </c>
      <c r="B18" s="2">
        <f>COUNTIFS('成品日检表'!$B$2:$B$2,"&gt;="&amp;$L$2,'成品日检表'!$B$2:$B$2,"&lt;"&amp;($M$2+1),'成品日检表'!$H$2:$H$2,"*o*")</f>
        <v/>
      </c>
      <c r="C18" s="2">
        <f>RANK(B18,$B$4:$B$27,0)</f>
        <v/>
      </c>
      <c r="H18" s="29" t="n"/>
      <c r="I18" s="23" t="n"/>
      <c r="J18" s="25" t="n"/>
    </row>
    <row r="19">
      <c r="A19" s="15" t="inlineStr">
        <is>
          <t>标签贴错</t>
        </is>
      </c>
      <c r="B19" s="2">
        <f>COUNTIFS('成品日检表'!$B$2:$B$2,"&gt;="&amp;$L$2,'成品日检表'!$B$2:$B$2,"&lt;"&amp;($M$2+1),'成品日检表'!$H$2:$H$2,"*p*")</f>
        <v/>
      </c>
      <c r="C19" s="2">
        <f>RANK(B19,$B$4:$B$27,0)</f>
        <v/>
      </c>
      <c r="H19" s="29" t="n"/>
      <c r="I19" s="23" t="n"/>
      <c r="J19" s="25" t="n"/>
    </row>
    <row r="20" ht="49.5" customHeight="1" s="45">
      <c r="A20" s="15" t="inlineStr">
        <is>
          <t>塑壳用错（国产与进口混用或用相似塑壳）</t>
        </is>
      </c>
      <c r="B20" s="2">
        <f>COUNTIFS('成品日检表'!$B$2:$B$2,"&gt;="&amp;$L$2,'成品日检表'!$B$2:$B$2,"&lt;"&amp;($M$2+1),'成品日检表'!$H$2:$H$2,"*q*")</f>
        <v/>
      </c>
      <c r="C20" s="2">
        <f>RANK(B20,$B$4:$B$27,0)</f>
        <v/>
      </c>
      <c r="H20" s="29" t="n"/>
      <c r="I20" s="23" t="n"/>
      <c r="J20" s="23" t="n"/>
    </row>
    <row r="21">
      <c r="A21" s="15" t="inlineStr">
        <is>
          <t>护套用错</t>
        </is>
      </c>
      <c r="B21" s="2">
        <f>COUNTIFS('成品日检表'!$B$2:$B$2,"&gt;="&amp;$L$2,'成品日检表'!$B$2:$B$2,"&lt;"&amp;($M$2+1),'成品日检表'!$H$2:$H$2,"*r*")</f>
        <v/>
      </c>
      <c r="C21" s="2">
        <f>RANK(B21,$B$4:$B$27,0)</f>
        <v/>
      </c>
      <c r="H21" s="29" t="n"/>
      <c r="I21" s="23" t="n"/>
      <c r="J21" s="25" t="n"/>
    </row>
    <row r="22">
      <c r="A22" s="15" t="inlineStr">
        <is>
          <t>扎带松</t>
        </is>
      </c>
      <c r="B22" s="2">
        <f>COUNTIFS('成品日检表'!$B$2:$B$2,"&gt;="&amp;$L$2,'成品日检表'!$B$2:$B$2,"&lt;"&amp;($M$2+1),'成品日检表'!$H$2:$H$2,"*s*")</f>
        <v/>
      </c>
      <c r="C22" s="2">
        <f>RANK(B22,$B$4:$B$27,0)</f>
        <v/>
      </c>
      <c r="H22" s="29" t="n"/>
      <c r="I22" s="23" t="n"/>
      <c r="J22" s="25" t="n"/>
    </row>
    <row r="23">
      <c r="A23" s="15" t="inlineStr">
        <is>
          <t>线剪断</t>
        </is>
      </c>
      <c r="B23" s="2">
        <f>COUNTIFS('成品日检表'!$B$2:$B$2,"&gt;="&amp;$L$2,'成品日检表'!$B$2:$B$2,"&lt;"&amp;($M$2+1),'成品日检表'!$H$2:$H$2,"*t*")</f>
        <v/>
      </c>
      <c r="C23" s="2">
        <f>RANK(B23,$B$4:$B$27,0)</f>
        <v/>
      </c>
      <c r="H23" s="29" t="n"/>
      <c r="I23" s="23" t="n"/>
      <c r="J23" s="25" t="n"/>
    </row>
    <row r="24">
      <c r="A24" s="19" t="inlineStr">
        <is>
          <t>防水塞未装到位</t>
        </is>
      </c>
      <c r="B24" s="2">
        <f>COUNTIFS('成品日检表'!$B$2:$B$2,"&gt;="&amp;$L$2,'成品日检表'!$B$2:$B$2,"&lt;"&amp;($M$2+1),'成品日检表'!$H$2:$H$2,"*u*")</f>
        <v/>
      </c>
      <c r="C24" s="2">
        <f>RANK(B24,$B$4:$B$27,0)</f>
        <v/>
      </c>
    </row>
    <row r="25">
      <c r="A25" s="13" t="inlineStr">
        <is>
          <t>塑壳坏</t>
        </is>
      </c>
      <c r="B25" s="2">
        <f>COUNTIFS('成品日检表'!$B$2:$B$2,"&gt;="&amp;$L$2,'成品日检表'!$B$2:$B$2,"&lt;"&amp;($M$2+1),'成品日检表'!$H$2:$H$2,"*v*")</f>
        <v/>
      </c>
      <c r="C25" s="2">
        <f>RANK(B25,$B$4:$B$27,0)</f>
        <v/>
      </c>
    </row>
    <row r="26">
      <c r="A26" s="3" t="inlineStr">
        <is>
          <t>端子浅压</t>
        </is>
      </c>
      <c r="B26" s="2">
        <f>COUNTIFS('成品日检表'!$B$2:$B$2,"&gt;="&amp;$L$2,'成品日检表'!$B$2:$B$2,"&lt;"&amp;($M$2+1),'成品日检表'!$H$2:$H$2,"*w*")</f>
        <v/>
      </c>
      <c r="C26" s="2">
        <f>RANK(B26,$B$4:$B$27,0)</f>
        <v/>
      </c>
    </row>
    <row r="27">
      <c r="A27" s="3" t="inlineStr">
        <is>
          <t>端子深压</t>
        </is>
      </c>
      <c r="B27" s="2">
        <f>COUNTIFS('成品日检表'!$B$2:$B$2,"&gt;="&amp;$L$2,'成品日检表'!$B$2:$B$2,"&lt;"&amp;($M$2+1),'成品日检表'!$H$2:$H$2,"*x*")</f>
        <v/>
      </c>
      <c r="C27" s="2">
        <f>RANK(B27,$B$4:$B$27,0)</f>
        <v/>
      </c>
    </row>
    <row r="28">
      <c r="A28" s="13" t="inlineStr">
        <is>
          <t>合计</t>
        </is>
      </c>
      <c r="B28" s="2">
        <f>SUM(B4:B27)</f>
        <v/>
      </c>
      <c r="C28" s="2" t="n"/>
    </row>
    <row r="30" ht="20.25" customHeight="1" s="45">
      <c r="A30" s="5" t="inlineStr">
        <is>
          <t>本日日期</t>
        </is>
      </c>
      <c r="B30" s="6">
        <f>TODAY()</f>
        <v/>
      </c>
      <c r="C30" s="7" t="n"/>
      <c r="E30" s="10" t="inlineStr">
        <is>
          <t>周别</t>
        </is>
      </c>
      <c r="F30" s="9">
        <f>WEEKNUM(B30,2)</f>
        <v/>
      </c>
    </row>
    <row r="31">
      <c r="L31" s="46" t="inlineStr">
        <is>
          <t>周开始（含）</t>
        </is>
      </c>
      <c r="M31" s="46" t="inlineStr">
        <is>
          <t>周结束（含）</t>
        </is>
      </c>
    </row>
    <row r="32" ht="22.5" customHeight="1" s="45">
      <c r="A32" s="10">
        <f>WEEKNUM(L32,21)</f>
        <v/>
      </c>
      <c r="B32" s="10" t="inlineStr">
        <is>
          <t>周出货抽检不良统计表</t>
        </is>
      </c>
      <c r="E32" s="12">
        <f>$A$32</f>
        <v/>
      </c>
      <c r="F32" s="12" t="inlineStr">
        <is>
          <t>周各组返工批次统计</t>
        </is>
      </c>
      <c r="H32" s="12">
        <f>$A$32</f>
        <v/>
      </c>
      <c r="I32" s="21" t="inlineStr">
        <is>
          <t>周检验数据表</t>
        </is>
      </c>
      <c r="J32" s="21" t="n"/>
      <c r="L32" s="47" t="n">
        <v>46048</v>
      </c>
      <c r="M32" s="47" t="n">
        <v>46054</v>
      </c>
    </row>
    <row r="33">
      <c r="A33" s="13" t="inlineStr">
        <is>
          <t>项              目</t>
        </is>
      </c>
      <c r="B33" s="14" t="inlineStr">
        <is>
          <t>不良批次</t>
        </is>
      </c>
      <c r="C33" s="14" t="inlineStr">
        <is>
          <t>排名</t>
        </is>
      </c>
      <c r="E33" s="14" t="inlineStr">
        <is>
          <t>组别</t>
        </is>
      </c>
      <c r="F33" s="14" t="inlineStr">
        <is>
          <t>返工批次</t>
        </is>
      </c>
      <c r="H33" s="14" t="inlineStr">
        <is>
          <t>检验数量</t>
        </is>
      </c>
      <c r="I33" s="14" t="inlineStr">
        <is>
          <t>抽检数</t>
        </is>
      </c>
      <c r="J33" s="14" t="inlineStr">
        <is>
          <t>不良数</t>
        </is>
      </c>
      <c r="K33" s="14" t="inlineStr">
        <is>
          <t>不良率</t>
        </is>
      </c>
    </row>
    <row r="34">
      <c r="A34" s="15" t="inlineStr">
        <is>
          <t>端子包角不良</t>
        </is>
      </c>
      <c r="B34" s="2">
        <f>COUNTIFS('成品日检表'!$B$2:$B$2,"&gt;="&amp;$L$32,'成品日检表'!$B$2:$B$2,"&lt;"&amp;($M$32+1),'成品日检表'!$H$2:$H$2,"*a*")</f>
        <v/>
      </c>
      <c r="C34" s="2">
        <f>RANK(B34,$B$34:$B$57,0)</f>
        <v/>
      </c>
      <c r="E34" s="14" t="inlineStr">
        <is>
          <t>U1</t>
        </is>
      </c>
      <c r="F34" s="2">
        <f>COUNTIFS('成品日检表'!$B$2:$B$2,"&gt;="&amp;$L$32,'成品日检表'!$B$2:$B$2,"&lt;"&amp;($M$32+1),'成品日检表'!$C$2:$C$2,E34,'成品日检表'!$I$2:$I$2,"返工")</f>
        <v/>
      </c>
      <c r="H34" s="2">
        <f>SUMIFS('成品日检表'!$E$2:$E$2,'成品日检表'!$B$2:$B$2,"&gt;="&amp;$L$32,'成品日检表'!$B$2:$B$2,"&lt;"&amp;($M$32+1))</f>
        <v/>
      </c>
      <c r="I34" s="2">
        <f>SUMIFS('成品日检表'!$F$2:$F$2,'成品日检表'!$B$2:$B$2,"&gt;="&amp;$L$32,'成品日检表'!$B$2:$B$2,"&lt;"&amp;($M$32+1))</f>
        <v/>
      </c>
      <c r="J34" s="2">
        <f>SUMIFS('成品日检表'!$G$2:$G$2,'成品日检表'!$B$2:$B$2,"&gt;="&amp;$L$32,'成品日检表'!$B$2:$B$2,"&lt;"&amp;($M$32+1))</f>
        <v/>
      </c>
      <c r="K34" s="22">
        <f>IFERROR(J34/I34,0)</f>
        <v/>
      </c>
    </row>
    <row r="35">
      <c r="A35" s="15" t="inlineStr">
        <is>
          <t>走线槽漏扎带</t>
        </is>
      </c>
      <c r="B35" s="2">
        <f>COUNTIFS('成品日检表'!$B$2:$B$2,"&gt;="&amp;$L$32,'成品日检表'!$B$2:$B$2,"&lt;"&amp;($M$32+1),'成品日检表'!$H$2:$H$2,"*b*")</f>
        <v/>
      </c>
      <c r="C35" s="2">
        <f>RANK(B35,$B$34:$B$57,0)</f>
        <v/>
      </c>
      <c r="E35" s="14" t="inlineStr">
        <is>
          <t>U2</t>
        </is>
      </c>
      <c r="F35" s="2">
        <f>COUNTIFS('成品日检表'!$B$2:$B$2,"&gt;="&amp;$L$32,'成品日检表'!$B$2:$B$2,"&lt;"&amp;($M$32+1),'成品日检表'!$C$2:$C$2,E35,'成品日检表'!$I$2:$I$2,"返工")</f>
        <v/>
      </c>
    </row>
    <row r="36">
      <c r="A36" s="15" t="inlineStr">
        <is>
          <t>漏锁片</t>
        </is>
      </c>
      <c r="B36" s="2">
        <f>COUNTIFS('成品日检表'!$B$2:$B$2,"&gt;="&amp;$L$32,'成品日检表'!$B$2:$B$2,"&lt;"&amp;($M$32+1),'成品日检表'!$H$2:$H$2,"*c*")</f>
        <v/>
      </c>
      <c r="C36" s="2">
        <f>RANK(B36,$B$34:$B$57,0)</f>
        <v/>
      </c>
      <c r="E36" s="14" t="inlineStr">
        <is>
          <t>U3</t>
        </is>
      </c>
      <c r="F36" s="2">
        <f>COUNTIFS('成品日检表'!$B$2:$B$2,"&gt;="&amp;$L$32,'成品日检表'!$B$2:$B$2,"&lt;"&amp;($M$32+1),'成品日检表'!$C$2:$C$2,E36,'成品日检表'!$I$2:$I$2,"返工")</f>
        <v/>
      </c>
    </row>
    <row r="37">
      <c r="A37" s="15" t="inlineStr">
        <is>
          <t>漏扣卡扣</t>
        </is>
      </c>
      <c r="B37" s="2">
        <f>COUNTIFS('成品日检表'!$B$2:$B$2,"&gt;="&amp;$L$32,'成品日检表'!$B$2:$B$2,"&lt;"&amp;($M$32+1),'成品日检表'!$H$2:$H$2,"*d*")</f>
        <v/>
      </c>
      <c r="C37" s="2">
        <f>RANK(B37,$B$34:$B$57,0)</f>
        <v/>
      </c>
      <c r="E37" s="14" t="inlineStr">
        <is>
          <t>U4</t>
        </is>
      </c>
      <c r="F37" s="2">
        <f>COUNTIFS('成品日检表'!$B$2:$B$2,"&gt;="&amp;$L$32,'成品日检表'!$B$2:$B$2,"&lt;"&amp;($M$32+1),'成品日检表'!$C$2:$C$2,E37,'成品日检表'!$I$2:$I$2,"返工")</f>
        <v/>
      </c>
    </row>
    <row r="38">
      <c r="A38" s="15" t="inlineStr">
        <is>
          <t>漏剪扎带</t>
        </is>
      </c>
      <c r="B38" s="2">
        <f>COUNTIFS('成品日检表'!$B$2:$B$2,"&gt;="&amp;$L$32,'成品日检表'!$B$2:$B$2,"&lt;"&amp;($M$32+1),'成品日检表'!$H$2:$H$2,"*e*")</f>
        <v/>
      </c>
      <c r="C38" s="2">
        <f>RANK(B38,$B$34:$B$57,0)</f>
        <v/>
      </c>
      <c r="E38" s="14" t="inlineStr">
        <is>
          <t>U5</t>
        </is>
      </c>
      <c r="F38" s="2">
        <f>COUNTIFS('成品日检表'!$B$2:$B$2,"&gt;="&amp;$L$32,'成品日检表'!$B$2:$B$2,"&lt;"&amp;($M$32+1),'成品日检表'!$C$2:$C$2,E38,'成品日检表'!$I$2:$I$2,"返工")</f>
        <v/>
      </c>
    </row>
    <row r="39">
      <c r="A39" s="15" t="inlineStr">
        <is>
          <t>插入不足</t>
        </is>
      </c>
      <c r="B39" s="2">
        <f>COUNTIFS('成品日检表'!$B$2:$B$2,"&gt;="&amp;$L$32,'成品日检表'!$B$2:$B$2,"&lt;"&amp;($M$32+1),'成品日检表'!$H$2:$H$2,"*f*")</f>
        <v/>
      </c>
      <c r="C39" s="2">
        <f>RANK(B39,$B$34:$B$57,0)</f>
        <v/>
      </c>
      <c r="E39" s="14" t="inlineStr">
        <is>
          <t>U6</t>
        </is>
      </c>
      <c r="F39" s="2">
        <f>COUNTIFS('成品日检表'!$B$2:$B$2,"&gt;="&amp;$L$32,'成品日检表'!$B$2:$B$2,"&lt;"&amp;($M$32+1),'成品日检表'!$C$2:$C$2,E39,'成品日检表'!$I$2:$I$2,"返工")</f>
        <v/>
      </c>
    </row>
    <row r="40">
      <c r="A40" s="15" t="inlineStr">
        <is>
          <t>漏胶</t>
        </is>
      </c>
      <c r="B40" s="2">
        <f>COUNTIFS('成品日检表'!$B$2:$B$2,"&gt;="&amp;$L$32,'成品日检表'!$B$2:$B$2,"&lt;"&amp;($M$32+1),'成品日检表'!$H$2:$H$2,"*g*")</f>
        <v/>
      </c>
      <c r="C40" s="2">
        <f>RANK(B40,$B$34:$B$57,0)</f>
        <v/>
      </c>
      <c r="E40" s="14" t="inlineStr">
        <is>
          <t>U7</t>
        </is>
      </c>
      <c r="F40" s="2">
        <f>COUNTIFS('成品日检表'!$B$2:$B$2,"&gt;="&amp;$L$32,'成品日检表'!$B$2:$B$2,"&lt;"&amp;($M$32+1),'成品日检表'!$C$2:$C$2,E40,'成品日检表'!$I$2:$I$2,"返工")</f>
        <v/>
      </c>
    </row>
    <row r="41">
      <c r="A41" s="15" t="inlineStr">
        <is>
          <t>组付漏扎带</t>
        </is>
      </c>
      <c r="B41" s="2">
        <f>COUNTIFS('成品日检表'!$B$2:$B$2,"&gt;="&amp;$L$32,'成品日检表'!$B$2:$B$2,"&lt;"&amp;($M$32+1),'成品日检表'!$H$2:$H$2,"*h*")</f>
        <v/>
      </c>
      <c r="C41" s="2">
        <f>RANK(B41,$B$34:$B$57,0)</f>
        <v/>
      </c>
      <c r="E41" s="14" t="inlineStr">
        <is>
          <t>U8</t>
        </is>
      </c>
      <c r="F41" s="2">
        <f>COUNTIFS('成品日检表'!$B$2:$B$2,"&gt;="&amp;$L$32,'成品日检表'!$B$2:$B$2,"&lt;"&amp;($M$32+1),'成品日检表'!$C$2:$C$2,E41,'成品日检表'!$I$2:$I$2,"返工")</f>
        <v/>
      </c>
    </row>
    <row r="42">
      <c r="A42" s="15" t="inlineStr">
        <is>
          <t>漏海绵</t>
        </is>
      </c>
      <c r="B42" s="2">
        <f>COUNTIFS('成品日检表'!$B$2:$B$2,"&gt;="&amp;$L$32,'成品日检表'!$B$2:$B$2,"&lt;"&amp;($M$32+1),'成品日检表'!$H$2:$H$2,"*i*")</f>
        <v/>
      </c>
      <c r="C42" s="2">
        <f>RANK(B42,$B$34:$B$57,0)</f>
        <v/>
      </c>
      <c r="E42" s="14" t="inlineStr">
        <is>
          <t>合计</t>
        </is>
      </c>
      <c r="F42" s="2">
        <f>SUM(F34:F41)</f>
        <v/>
      </c>
    </row>
    <row r="43">
      <c r="A43" s="15" t="inlineStr">
        <is>
          <t>组付尺寸不良</t>
        </is>
      </c>
      <c r="B43" s="2">
        <f>COUNTIFS('成品日检表'!$B$2:$B$2,"&gt;="&amp;$L$32,'成品日检表'!$B$2:$B$2,"&lt;"&amp;($M$32+1),'成品日检表'!$H$2:$H$2,"*j*")</f>
        <v/>
      </c>
      <c r="C43" s="2">
        <f>RANK(B43,$B$34:$B$57,0)</f>
        <v/>
      </c>
    </row>
    <row r="44">
      <c r="A44" s="15" t="inlineStr">
        <is>
          <t>走线槽尺寸不良</t>
        </is>
      </c>
      <c r="B44" s="2">
        <f>COUNTIFS('成品日检表'!$B$2:$B$2,"&gt;="&amp;$L$32,'成品日检表'!$B$2:$B$2,"&lt;"&amp;($M$32+1),'成品日检表'!$H$2:$H$2,"*k*")</f>
        <v/>
      </c>
      <c r="C44" s="2">
        <f>RANK(B44,$B$34:$B$57,0)</f>
        <v/>
      </c>
    </row>
    <row r="45">
      <c r="A45" s="15" t="inlineStr">
        <is>
          <t>热缩管不良</t>
        </is>
      </c>
      <c r="B45" s="2">
        <f>COUNTIFS('成品日检表'!$B$2:$B$2,"&gt;="&amp;$L$32,'成品日检表'!$B$2:$B$2,"&lt;"&amp;($M$32+1),'成品日检表'!$H$2:$H$2,"*l*")</f>
        <v/>
      </c>
      <c r="C45" s="2">
        <f>RANK(B45,$B$34:$B$57,0)</f>
        <v/>
      </c>
    </row>
    <row r="46">
      <c r="A46" s="15" t="inlineStr">
        <is>
          <t>端子反插</t>
        </is>
      </c>
      <c r="B46" s="2">
        <f>COUNTIFS('成品日检表'!$B$2:$B$2,"&gt;="&amp;$L$32,'成品日检表'!$B$2:$B$2,"&lt;"&amp;($M$32+1),'成品日检表'!$H$2:$H$2,"*m*")</f>
        <v/>
      </c>
      <c r="C46" s="2">
        <f>RANK(B46,$B$34:$B$57,0)</f>
        <v/>
      </c>
    </row>
    <row r="47">
      <c r="A47" s="15" t="inlineStr">
        <is>
          <t>端子变形</t>
        </is>
      </c>
      <c r="B47" s="2">
        <f>COUNTIFS('成品日检表'!$B$2:$B$2,"&gt;="&amp;$L$32,'成品日检表'!$B$2:$B$2,"&lt;"&amp;($M$32+1),'成品日检表'!$H$2:$H$2,"*n*")</f>
        <v/>
      </c>
      <c r="C47" s="2">
        <f>RANK(B47,$B$34:$B$57,0)</f>
        <v/>
      </c>
    </row>
    <row r="48">
      <c r="A48" s="15" t="inlineStr">
        <is>
          <t>漏装塑壳</t>
        </is>
      </c>
      <c r="B48" s="2">
        <f>COUNTIFS('成品日检表'!$B$2:$B$2,"&gt;="&amp;$L$32,'成品日检表'!$B$2:$B$2,"&lt;"&amp;($M$32+1),'成品日检表'!$H$2:$H$2,"*o*")</f>
        <v/>
      </c>
      <c r="C48" s="2">
        <f>RANK(B48,$B$34:$B$57,0)</f>
        <v/>
      </c>
      <c r="G48" s="24" t="n"/>
      <c r="J48" s="24" t="n"/>
    </row>
    <row r="49">
      <c r="A49" s="15" t="inlineStr">
        <is>
          <t>标签贴错</t>
        </is>
      </c>
      <c r="B49" s="2">
        <f>COUNTIFS('成品日检表'!$B$2:$B$2,"&gt;="&amp;$L$32,'成品日检表'!$B$2:$B$2,"&lt;"&amp;($M$32+1),'成品日检表'!$H$2:$H$2,"*p*")</f>
        <v/>
      </c>
      <c r="C49" s="2">
        <f>RANK(B49,$B$34:$B$57,0)</f>
        <v/>
      </c>
    </row>
    <row r="50" ht="49.5" customHeight="1" s="45">
      <c r="A50" s="15" t="inlineStr">
        <is>
          <t>塑壳用错（国产与进口混用或用相似塑壳）</t>
        </is>
      </c>
      <c r="B50" s="2">
        <f>COUNTIFS('成品日检表'!$B$2:$B$2,"&gt;="&amp;$L$32,'成品日检表'!$B$2:$B$2,"&lt;"&amp;($M$32+1),'成品日检表'!$H$2:$H$2,"*q*")</f>
        <v/>
      </c>
      <c r="C50" s="2">
        <f>RANK(B50,$B$34:$B$57,0)</f>
        <v/>
      </c>
      <c r="J50" s="29" t="n"/>
    </row>
    <row r="51">
      <c r="A51" s="15" t="inlineStr">
        <is>
          <t>护套用错</t>
        </is>
      </c>
      <c r="B51" s="2">
        <f>COUNTIFS('成品日检表'!$B$2:$B$2,"&gt;="&amp;$L$32,'成品日检表'!$B$2:$B$2,"&lt;"&amp;($M$32+1),'成品日检表'!$H$2:$H$2,"*r*")</f>
        <v/>
      </c>
      <c r="C51" s="2">
        <f>RANK(B51,$B$34:$B$57,0)</f>
        <v/>
      </c>
    </row>
    <row r="52">
      <c r="A52" s="15" t="inlineStr">
        <is>
          <t>扎带松</t>
        </is>
      </c>
      <c r="B52" s="2">
        <f>COUNTIFS('成品日检表'!$B$2:$B$2,"&gt;="&amp;$L$32,'成品日检表'!$B$2:$B$2,"&lt;"&amp;($M$32+1),'成品日检表'!$H$2:$H$2,"*s*")</f>
        <v/>
      </c>
      <c r="C52" s="2">
        <f>RANK(B52,$B$34:$B$57,0)</f>
        <v/>
      </c>
    </row>
    <row r="53">
      <c r="A53" s="15" t="inlineStr">
        <is>
          <t>线剪断</t>
        </is>
      </c>
      <c r="B53" s="2">
        <f>COUNTIFS('成品日检表'!$B$2:$B$2,"&gt;="&amp;$L$32,'成品日检表'!$B$2:$B$2,"&lt;"&amp;($M$32+1),'成品日检表'!$H$2:$H$2,"*t*")</f>
        <v/>
      </c>
      <c r="C53" s="2">
        <f>RANK(B53,$B$34:$B$57,0)</f>
        <v/>
      </c>
    </row>
    <row r="54">
      <c r="A54" s="19" t="inlineStr">
        <is>
          <t>防水塞未装到位</t>
        </is>
      </c>
      <c r="B54" s="2">
        <f>COUNTIFS('成品日检表'!$B$2:$B$2,"&gt;="&amp;$L$32,'成品日检表'!$B$2:$B$2,"&lt;"&amp;($M$32+1),'成品日检表'!$H$2:$H$2,"*u*")</f>
        <v/>
      </c>
      <c r="C54" s="2">
        <f>RANK(B54,$B$34:$B$57,0)</f>
        <v/>
      </c>
    </row>
    <row r="55">
      <c r="A55" s="13" t="inlineStr">
        <is>
          <t>塑壳坏</t>
        </is>
      </c>
      <c r="B55" s="2">
        <f>COUNTIFS('成品日检表'!$B$2:$B$2,"&gt;="&amp;$L$32,'成品日检表'!$B$2:$B$2,"&lt;"&amp;($M$32+1),'成品日检表'!$H$2:$H$2,"*v*")</f>
        <v/>
      </c>
      <c r="C55" s="2">
        <f>RANK(B55,$B$34:$B$57,0)</f>
        <v/>
      </c>
    </row>
    <row r="56">
      <c r="A56" s="3" t="inlineStr">
        <is>
          <t>端子浅压</t>
        </is>
      </c>
      <c r="B56" s="2">
        <f>COUNTIFS('成品日检表'!$B$2:$B$2,"&gt;="&amp;$L$32,'成品日检表'!$B$2:$B$2,"&lt;"&amp;($M$32+1),'成品日检表'!$H$2:$H$2,"*w*")</f>
        <v/>
      </c>
      <c r="C56" s="2">
        <f>RANK(B56,$B$34:$B$57,0)</f>
        <v/>
      </c>
    </row>
    <row r="57">
      <c r="A57" s="3" t="inlineStr">
        <is>
          <t>端子深压</t>
        </is>
      </c>
      <c r="B57" s="2">
        <f>COUNTIFS('成品日检表'!$B$2:$B$2,"&gt;="&amp;$L$32,'成品日检表'!$B$2:$B$2,"&lt;"&amp;($M$32+1),'成品日检表'!$H$2:$H$2,"*x*")</f>
        <v/>
      </c>
      <c r="C57" s="2">
        <f>RANK(B57,$B$34:$B$57,0)</f>
        <v/>
      </c>
    </row>
    <row r="58">
      <c r="A58" s="13" t="inlineStr">
        <is>
          <t>合计</t>
        </is>
      </c>
      <c r="B58" s="2">
        <f>SUM(B34:B57)</f>
        <v/>
      </c>
      <c r="C58" s="2" t="n"/>
    </row>
    <row r="61">
      <c r="A61" t="inlineStr">
        <is>
          <t>项目统计为出现批次；不良率=不良件数/抽检件数。逐项已知数量见标准报表。</t>
        </is>
      </c>
    </row>
  </sheetData>
  <mergeCells count="2">
    <mergeCell ref="B2:C2"/>
    <mergeCell ref="B32:C3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25"/>
  <sheetViews>
    <sheetView workbookViewId="0">
      <selection activeCell="J44" sqref="J44"/>
    </sheetView>
  </sheetViews>
  <sheetFormatPr baseColWidth="8" defaultColWidth="11.3333333333333" defaultRowHeight="16.5"/>
  <cols>
    <col width="11.3333333333333" customWidth="1" style="25" min="1" max="1"/>
    <col width="30" customWidth="1" style="25" min="2" max="2"/>
    <col width="11.3333333333333" customWidth="1" style="25" min="3" max="16384"/>
  </cols>
  <sheetData>
    <row r="2">
      <c r="A2" s="2" t="n">
        <v>1</v>
      </c>
      <c r="B2" s="3" t="inlineStr">
        <is>
          <t>端子包角不良</t>
        </is>
      </c>
    </row>
    <row r="3">
      <c r="A3" s="2" t="n">
        <v>2</v>
      </c>
      <c r="B3" s="3" t="inlineStr">
        <is>
          <t>走线槽漏扎带</t>
        </is>
      </c>
    </row>
    <row r="4">
      <c r="A4" s="2" t="n">
        <v>3</v>
      </c>
      <c r="B4" s="3" t="inlineStr">
        <is>
          <t>漏锁片</t>
        </is>
      </c>
    </row>
    <row r="5">
      <c r="A5" s="2" t="n">
        <v>4</v>
      </c>
      <c r="B5" s="3" t="inlineStr">
        <is>
          <t>漏扣卡扣</t>
        </is>
      </c>
    </row>
    <row r="6">
      <c r="A6" s="2" t="n">
        <v>5</v>
      </c>
      <c r="B6" s="3" t="inlineStr">
        <is>
          <t>漏剪扎带</t>
        </is>
      </c>
    </row>
    <row r="7">
      <c r="A7" s="2" t="n">
        <v>6</v>
      </c>
      <c r="B7" s="3" t="inlineStr">
        <is>
          <t>插入不足</t>
        </is>
      </c>
    </row>
    <row r="8">
      <c r="A8" s="2" t="n">
        <v>7</v>
      </c>
      <c r="B8" s="3" t="inlineStr">
        <is>
          <t>漏胶</t>
        </is>
      </c>
    </row>
    <row r="9">
      <c r="A9" s="2" t="n">
        <v>8</v>
      </c>
      <c r="B9" s="3" t="inlineStr">
        <is>
          <t>组付漏扎带</t>
        </is>
      </c>
    </row>
    <row r="10">
      <c r="A10" s="2" t="n">
        <v>9</v>
      </c>
      <c r="B10" s="3" t="inlineStr">
        <is>
          <t>漏海绵</t>
        </is>
      </c>
    </row>
    <row r="11">
      <c r="A11" s="2" t="n">
        <v>10</v>
      </c>
      <c r="B11" s="3" t="inlineStr">
        <is>
          <t>组付尺寸不良</t>
        </is>
      </c>
    </row>
    <row r="12">
      <c r="A12" s="2" t="n">
        <v>11</v>
      </c>
      <c r="B12" s="3" t="inlineStr">
        <is>
          <t>走线槽尺寸不良</t>
        </is>
      </c>
    </row>
    <row r="13">
      <c r="A13" s="2" t="n">
        <v>12</v>
      </c>
      <c r="B13" s="3" t="inlineStr">
        <is>
          <t>热缩管不良</t>
        </is>
      </c>
    </row>
    <row r="14">
      <c r="A14" s="2" t="n">
        <v>13</v>
      </c>
      <c r="B14" s="3" t="inlineStr">
        <is>
          <t>端子反插</t>
        </is>
      </c>
    </row>
    <row r="15">
      <c r="A15" s="2" t="n">
        <v>14</v>
      </c>
      <c r="B15" s="3" t="inlineStr">
        <is>
          <t>端子变形</t>
        </is>
      </c>
    </row>
    <row r="16">
      <c r="A16" s="2" t="n">
        <v>15</v>
      </c>
      <c r="B16" s="3" t="inlineStr">
        <is>
          <t>漏装塑壳</t>
        </is>
      </c>
    </row>
    <row r="17">
      <c r="A17" s="2" t="n">
        <v>16</v>
      </c>
      <c r="B17" s="3" t="inlineStr">
        <is>
          <t>标签贴错</t>
        </is>
      </c>
    </row>
    <row r="18">
      <c r="A18" s="2" t="n">
        <v>17</v>
      </c>
      <c r="B18" s="3" t="inlineStr">
        <is>
          <t>塑壳用错（国产与进口混用或用相似塑壳）</t>
        </is>
      </c>
    </row>
    <row r="19">
      <c r="A19" s="2" t="n">
        <v>18</v>
      </c>
      <c r="B19" s="3" t="inlineStr">
        <is>
          <t>护套用错</t>
        </is>
      </c>
    </row>
    <row r="20">
      <c r="A20" s="2" t="n">
        <v>19</v>
      </c>
      <c r="B20" s="3" t="inlineStr">
        <is>
          <t>扎带松</t>
        </is>
      </c>
    </row>
    <row r="21">
      <c r="A21" s="2" t="n">
        <v>20</v>
      </c>
      <c r="B21" s="3" t="inlineStr">
        <is>
          <t>线剪断</t>
        </is>
      </c>
    </row>
    <row r="22">
      <c r="A22" s="2" t="n">
        <v>21</v>
      </c>
      <c r="B22" s="3" t="inlineStr">
        <is>
          <t>防水塞未装到位</t>
        </is>
      </c>
    </row>
    <row r="23">
      <c r="A23" s="2" t="n">
        <v>22</v>
      </c>
      <c r="B23" s="3" t="inlineStr">
        <is>
          <t>塑壳坏</t>
        </is>
      </c>
    </row>
    <row r="24">
      <c r="A24" s="2" t="n">
        <v>23</v>
      </c>
      <c r="B24" s="3" t="inlineStr">
        <is>
          <t>端子浅压</t>
        </is>
      </c>
    </row>
    <row r="25">
      <c r="A25" s="2" t="n">
        <v>24</v>
      </c>
      <c r="B25" s="3" t="inlineStr">
        <is>
          <t>端子深压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Product-QC-Daily</dc:creator>
  <dcterms:created xsi:type="dcterms:W3CDTF">2024-02-01T17:44:00Z</dcterms:created>
  <dcterms:modified xsi:type="dcterms:W3CDTF">2026-10-03T06:21:41Z</dcterms:modified>
  <cp:lastModifiedBy>Product-QC-Daily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2052-12.1.0.16250</vt:lpwstr>
  </property>
</Properties>
</file>