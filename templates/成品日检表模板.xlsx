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2" autoFilterDateGrouping="1"/>
  </bookViews>
  <sheets>
    <sheet name="成品日检表报表" sheetId="1" state="hidden" r:id="rId1"/>
    <sheet name="成品日检表" sheetId="2" state="visible" r:id="rId2"/>
    <sheet name="数据分析表" sheetId="3" state="visible" r:id="rId3"/>
    <sheet name="工具" sheetId="4" state="visible" r:id="rId4"/>
  </sheets>
  <definedNames>
    <definedName name="WebWps_Form">成品日检表报表!$A$1:$J$295</definedName>
    <definedName name="WebWps_Form_RhS4ZQP58FdX24OE">成品日检表!$A$1:$K$465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9">
    <font>
      <name val="微软雅黑"/>
      <charset val="134"/>
      <color theme="1"/>
      <sz val="11"/>
    </font>
    <font>
      <name val="微软雅黑"/>
      <charset val="134"/>
      <color theme="1"/>
      <sz val="10"/>
    </font>
    <font>
      <name val="微软雅黑"/>
      <charset val="134"/>
      <color rgb="FF000000"/>
      <sz val="10"/>
    </font>
    <font>
      <name val="微软雅黑"/>
      <charset val="134"/>
      <color rgb="FF000000"/>
      <sz val="14"/>
    </font>
    <font>
      <name val="微软雅黑"/>
      <charset val="134"/>
      <color theme="1"/>
      <sz val="12"/>
    </font>
    <font>
      <name val="微软雅黑"/>
      <charset val="134"/>
      <color theme="1"/>
      <sz val="14"/>
    </font>
    <font>
      <name val="微软雅黑"/>
      <charset val="134"/>
      <color rgb="FF000000"/>
      <sz val="16"/>
    </font>
    <font>
      <name val="微软雅黑"/>
      <charset val="134"/>
      <color rgb="FF000000"/>
      <sz val="18"/>
    </font>
    <font>
      <name val="Arial"/>
      <charset val="134"/>
      <color rgb="FF191B1F"/>
      <sz val="11.25"/>
    </font>
    <font>
      <name val="Arial"/>
      <charset val="134"/>
      <color rgb="FF191B1F"/>
      <sz val="11.5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3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4" borderId="5" applyAlignment="1">
      <alignment vertical="center"/>
    </xf>
    <xf numFmtId="0" fontId="19" fillId="5" borderId="6" applyAlignment="1">
      <alignment vertical="center"/>
    </xf>
    <xf numFmtId="0" fontId="20" fillId="5" borderId="5" applyAlignment="1">
      <alignment vertical="center"/>
    </xf>
    <xf numFmtId="0" fontId="21" fillId="6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distributed"/>
    </xf>
    <xf numFmtId="0" fontId="1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distributed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49" fontId="2" fillId="0" borderId="0" applyAlignment="1" pivotButton="0" quotePrefix="1" xfId="0">
      <alignment horizontal="center" vertical="center"/>
    </xf>
    <xf numFmtId="0" fontId="0" fillId="0" borderId="0" pivotButton="0" quotePrefix="0" xfId="0"/>
    <xf numFmtId="16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不良项目出现批次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'数据分析表'!$A$4:$A$27</f>
            </numRef>
          </cat>
          <val>
            <numRef>
              <f>'数据分析表'!$B$4:$B$27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组别返工批次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'数据分析表'!$E$4:$E$11</f>
            </numRef>
          </cat>
          <val>
            <numRef>
              <f>'数据分析表'!$F$4:$F$11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检验数量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'数据分析表'!$H$4</f>
            </numRef>
          </cat>
          <val>
            <numRef>
              <f>'数据分析表'!$H$4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不良项目出现批次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'数据分析表'!$A$34:$A$57</f>
            </numRef>
          </cat>
          <val>
            <numRef>
              <f>'数据分析表'!$B$34:$B$57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组别返工批次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'数据分析表'!$E$34:$E$41</f>
            </numRef>
          </cat>
          <val>
            <numRef>
              <f>'数据分析表'!$F$34:$F$41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检验数量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'数据分析表'!$H$34</f>
            </numRef>
          </cat>
          <val>
            <numRef>
              <f>'数据分析表'!$H$34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62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62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80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80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80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activeCell="A1" sqref="A1"/>
      <selection pane="bottomLeft" activeCell="J10" sqref="J10"/>
    </sheetView>
  </sheetViews>
  <sheetFormatPr baseColWidth="8" defaultColWidth="11" defaultRowHeight="16.5"/>
  <cols>
    <col width="11" customWidth="1" style="25" min="1" max="1"/>
    <col width="14.2222222222222" customWidth="1" style="25" min="2" max="2"/>
    <col width="11" customWidth="1" style="23" min="3" max="3"/>
    <col width="23.3333333333333" customWidth="1" style="23" min="4" max="4"/>
    <col width="11" customWidth="1" style="23" min="5" max="7"/>
    <col width="16" customWidth="1" style="36" min="8" max="8"/>
    <col width="11" customWidth="1" style="23" min="9" max="9"/>
    <col width="11.1111111111111" customWidth="1" style="25" min="10" max="10"/>
    <col width="11" customWidth="1" style="25" min="11" max="16384"/>
  </cols>
  <sheetData>
    <row r="1">
      <c r="A1" s="41" t="inlineStr">
        <is>
          <t>填写ID</t>
        </is>
      </c>
      <c r="B1" s="41" t="inlineStr">
        <is>
          <t>时间</t>
        </is>
      </c>
      <c r="C1" s="42" t="inlineStr">
        <is>
          <t>检验:组别</t>
        </is>
      </c>
      <c r="D1" s="42" t="inlineStr">
        <is>
          <t>检验:加工单号</t>
        </is>
      </c>
      <c r="E1" s="42" t="inlineStr">
        <is>
          <t>检验:检验数量</t>
        </is>
      </c>
      <c r="F1" s="42" t="inlineStr">
        <is>
          <t>检验:抽检数</t>
        </is>
      </c>
      <c r="G1" s="42" t="inlineStr">
        <is>
          <t>检验:不良数</t>
        </is>
      </c>
      <c r="H1" s="43" t="inlineStr">
        <is>
          <t>检验:不良项目</t>
        </is>
      </c>
      <c r="I1" s="42" t="inlineStr">
        <is>
          <t>检验:判定</t>
        </is>
      </c>
      <c r="J1" s="41" t="inlineStr">
        <is>
          <t>签名:图片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  <row r="3" ht="34.45" customHeight="1" s="45"/>
    <row r="4" ht="33.95" customHeight="1" s="45"/>
    <row r="5" ht="36.9" customHeight="1" s="45"/>
    <row r="6" ht="33.95" customHeight="1" s="45"/>
    <row r="7" ht="33.95" customHeight="1" s="45"/>
    <row r="8" ht="36.9" customHeight="1" s="45"/>
    <row r="9" ht="36.9" customHeight="1" s="45"/>
    <row r="10" ht="36.2" customHeight="1" s="45"/>
    <row r="11" ht="36.2" customHeight="1" s="45"/>
    <row r="12" ht="36.9" customHeight="1" s="45"/>
    <row r="13" ht="36.9" customHeight="1" s="45"/>
    <row r="14" ht="34.4" customHeight="1" s="45"/>
    <row r="15" ht="34.4" customHeight="1" s="45"/>
    <row r="16" ht="34.4" customHeight="1" s="45"/>
    <row r="17" ht="36.2" customHeight="1" s="45"/>
    <row r="18" ht="36.2" customHeight="1" s="45"/>
    <row r="19" ht="36.2" customHeight="1" s="45"/>
    <row r="20" ht="36.2" customHeight="1" s="45"/>
    <row r="21" ht="36.9" customHeight="1" s="45"/>
    <row r="22" ht="36.9" customHeight="1" s="45"/>
    <row r="23" ht="36.9" customHeight="1" s="45"/>
    <row r="24" ht="36.9" customHeight="1" s="45"/>
    <row r="25" ht="34.4" customHeight="1" s="45"/>
    <row r="26" ht="34.4" customHeight="1" s="45"/>
    <row r="27" ht="34.4" customHeight="1" s="45"/>
    <row r="28" ht="33.95" customHeight="1" s="45"/>
    <row r="29" ht="33.95" customHeight="1" s="45"/>
    <row r="30" ht="33.95" customHeight="1" s="45"/>
    <row r="31" ht="36.2" customHeight="1" s="45"/>
    <row r="32" ht="36.2" customHeight="1" s="45"/>
    <row r="33" ht="36.2" customHeight="1" s="45"/>
    <row r="34" ht="36.2" customHeight="1" s="45"/>
    <row r="35" ht="36.2" customHeight="1" s="45"/>
    <row r="36" ht="36.2" customHeight="1" s="45"/>
    <row r="37" ht="36.2" customHeight="1" s="45"/>
    <row r="38" ht="36.2" customHeight="1" s="45"/>
    <row r="39" ht="34.4" customHeight="1" s="45"/>
    <row r="40" ht="34.4" customHeight="1" s="45"/>
    <row r="41" ht="34.4" customHeight="1" s="45"/>
    <row r="42" ht="34.4" customHeight="1" s="45"/>
    <row r="43" ht="36.2" customHeight="1" s="45"/>
    <row r="44" ht="36.2" customHeight="1" s="45"/>
    <row r="45" ht="36.9" customHeight="1" s="45"/>
    <row r="46" ht="36.9" customHeight="1" s="45"/>
    <row r="47" ht="34.4" customHeight="1" s="45"/>
    <row r="48" ht="36.9" customHeight="1" s="45"/>
    <row r="49" ht="34.4" customHeight="1" s="45"/>
    <row r="50" ht="34.4" customHeight="1" s="45"/>
    <row r="51" ht="36.9" customHeight="1" s="45"/>
    <row r="52" ht="36.2" customHeight="1" s="45"/>
    <row r="53" ht="36.2" customHeight="1" s="45"/>
    <row r="54" ht="36.2" customHeight="1" s="45"/>
    <row r="55" ht="34.4" customHeight="1" s="45"/>
    <row r="56" ht="34.4" customHeight="1" s="45"/>
    <row r="57" ht="34.4" customHeight="1" s="45"/>
    <row r="58" ht="36.9" customHeight="1" s="45"/>
    <row r="59" ht="36.9" customHeight="1" s="45"/>
    <row r="60" ht="36.2" customHeight="1" s="45"/>
    <row r="61" ht="36.2" customHeight="1" s="45"/>
    <row r="62" ht="34.4" customHeight="1" s="45"/>
    <row r="63" ht="34.4" customHeight="1" s="45"/>
    <row r="64" ht="34.4" customHeight="1" s="45"/>
    <row r="65" ht="34.4" customHeight="1" s="45"/>
    <row r="66" ht="36.9" customHeight="1" s="45"/>
    <row r="67" ht="34.4" customHeight="1" s="45"/>
    <row r="68" ht="36.9" customHeight="1" s="45"/>
    <row r="69" ht="34.4" customHeight="1" s="45"/>
    <row r="70" ht="36.9" customHeight="1" s="45"/>
    <row r="71" ht="34.4" customHeight="1" s="45"/>
    <row r="72" ht="34.4" customHeight="1" s="45"/>
    <row r="73" ht="34.4" customHeight="1" s="45"/>
    <row r="74" ht="36.9" customHeight="1" s="45"/>
    <row r="75" ht="36.9" customHeight="1" s="45"/>
    <row r="76" ht="34.4" customHeight="1" s="45"/>
    <row r="77" ht="34.4" customHeight="1" s="45"/>
    <row r="78" ht="34.4" customHeight="1" s="45"/>
    <row r="79" ht="36.9" customHeight="1" s="45"/>
    <row r="80" ht="36.9" customHeight="1" s="45"/>
    <row r="81" ht="36.9" customHeight="1" s="45"/>
    <row r="82" ht="33.95" customHeight="1" s="45"/>
    <row r="83" ht="33.95" customHeight="1" s="45"/>
    <row r="84" ht="33.95" customHeight="1" s="45"/>
    <row r="85" ht="33.95" customHeight="1" s="45"/>
    <row r="86" ht="36.2" customHeight="1" s="45"/>
    <row r="87" ht="36.2" customHeight="1" s="45"/>
    <row r="88" ht="36.2" customHeight="1" s="45"/>
    <row r="89" ht="36.2" customHeight="1" s="45"/>
    <row r="90" ht="36.2" customHeight="1" s="45"/>
    <row r="91" ht="36.2" customHeight="1" s="45"/>
    <row r="92" ht="36.2" customHeight="1" s="45"/>
    <row r="93" ht="36.2" customHeight="1" s="45"/>
    <row r="94" ht="36.2" customHeight="1" s="45"/>
    <row r="95" ht="36.2" customHeight="1" s="45"/>
    <row r="96" ht="36.2" customHeight="1" s="45"/>
    <row r="97" ht="36.9" customHeight="1" s="45"/>
    <row r="98" ht="36.9" customHeight="1" s="45"/>
    <row r="99" ht="33.95" customHeight="1" s="45"/>
    <row r="100" ht="33.95" customHeight="1" s="45"/>
    <row r="101" ht="33.95" customHeight="1" s="45"/>
    <row r="102" ht="36.9" customHeight="1" s="45"/>
    <row r="103" ht="33.95" customHeight="1" s="45"/>
    <row r="104" ht="33.95" customHeight="1" s="45"/>
    <row r="105" ht="33.95" customHeight="1" s="45"/>
    <row r="106" ht="33.95" customHeight="1" s="45"/>
    <row r="107" ht="36.2" customHeight="1" s="45"/>
    <row r="108" ht="36.2" customHeight="1" s="45"/>
    <row r="109" ht="36.2" customHeight="1" s="45"/>
    <row r="110" ht="36.2" customHeight="1" s="45"/>
    <row r="111" ht="33.95" customHeight="1" s="45"/>
    <row r="112" ht="33.95" customHeight="1" s="45"/>
    <row r="113" ht="33.95" customHeight="1" s="45"/>
    <row r="114" ht="36.9" customHeight="1" s="45"/>
    <row r="115" ht="36.9" customHeight="1" s="45"/>
    <row r="116" ht="36.2" customHeight="1" s="45"/>
    <row r="117" ht="36.2" customHeight="1" s="45"/>
    <row r="118" ht="33.95" customHeight="1" s="45"/>
    <row r="119" ht="33.95" customHeight="1" s="45"/>
    <row r="120" ht="33.95" customHeight="1" s="45"/>
    <row r="121" ht="33.95" customHeight="1" s="45"/>
    <row r="122" ht="36.9" customHeight="1" s="45"/>
    <row r="123" ht="36.9" customHeight="1" s="45"/>
    <row r="124" ht="36.2" customHeight="1" s="45"/>
    <row r="125" ht="36.2" customHeight="1" s="45"/>
    <row r="126" ht="33.95" customHeight="1" s="45"/>
    <row r="127" ht="33.95" customHeight="1" s="45"/>
    <row r="128" ht="33.95" customHeight="1" s="45"/>
    <row r="129" ht="33.95" customHeight="1" s="45"/>
    <row r="130" ht="36.9" customHeight="1" s="45"/>
    <row r="131" ht="36.9" customHeight="1" s="45"/>
    <row r="132" ht="36.2" customHeight="1" s="45"/>
    <row r="133" ht="36.2" customHeight="1" s="45"/>
    <row r="134" ht="33.95" customHeight="1" s="45"/>
    <row r="135" ht="33.95" customHeight="1" s="45"/>
    <row r="136" ht="33.95" customHeight="1" s="45"/>
    <row r="137" ht="36.9" customHeight="1" s="45"/>
    <row r="138" ht="36.9" customHeight="1" s="45"/>
    <row r="139" ht="33.95" customHeight="1" s="45"/>
    <row r="140" ht="33.95" customHeight="1" s="45"/>
    <row r="141" ht="33.95" customHeight="1" s="45"/>
    <row r="142" ht="33.95" customHeight="1" s="45"/>
    <row r="143" ht="36.2" customHeight="1" s="45"/>
    <row r="144" ht="36.2" customHeight="1" s="45"/>
    <row r="145" ht="36.2" customHeight="1" s="45"/>
    <row r="146" ht="33.95" customHeight="1" s="45"/>
    <row r="147" ht="33.95" customHeight="1" s="45"/>
    <row r="148" ht="33.95" customHeight="1" s="45"/>
    <row r="149" ht="36.9" customHeight="1" s="45"/>
    <row r="150" ht="36.9" customHeight="1" s="45"/>
    <row r="151" ht="36.9" customHeight="1" s="45"/>
    <row r="152" ht="36.9" customHeight="1" s="45"/>
    <row r="153" ht="33.95" customHeight="1" s="45"/>
    <row r="154" ht="33.95" customHeight="1" s="45"/>
    <row r="155" ht="33.95" customHeight="1" s="45"/>
    <row r="156" ht="33.95" customHeight="1" s="45"/>
    <row r="157" ht="33.95" customHeight="1" s="45"/>
    <row r="158" ht="33.95" customHeight="1" s="45"/>
    <row r="159" ht="33.95" customHeight="1" s="45"/>
    <row r="160" ht="33.95" customHeight="1" s="45"/>
    <row r="161" ht="36.9" customHeight="1" s="45"/>
    <row r="162" ht="36.9" customHeight="1" s="45"/>
    <row r="163" ht="33.95" customHeight="1" s="45"/>
    <row r="164" ht="33.95" customHeight="1" s="45"/>
    <row r="165" ht="33.95" customHeight="1" s="45"/>
    <row r="166" ht="36.9" customHeight="1" s="45"/>
    <row r="167" ht="36.9" customHeight="1" s="45"/>
    <row r="168" ht="36.9" customHeight="1" s="45"/>
    <row r="169" ht="36.9" customHeight="1" s="45"/>
    <row r="170" ht="33.95" customHeight="1" s="45"/>
    <row r="171" ht="33.95" customHeight="1" s="45"/>
    <row r="172" ht="36.9" customHeight="1" s="45"/>
    <row r="173" ht="33.95" customHeight="1" s="45"/>
    <row r="174" ht="33.95" customHeight="1" s="45"/>
    <row r="175" ht="33.95" customHeight="1" s="45"/>
    <row r="176" ht="36.2" customHeight="1" s="45"/>
    <row r="177" ht="36.2" customHeight="1" s="45"/>
    <row r="178" ht="36.2" customHeight="1" s="45"/>
    <row r="179" ht="36.2" customHeight="1" s="45"/>
    <row r="180" ht="33.95" customHeight="1" s="45"/>
    <row r="181" ht="33.95" customHeight="1" s="45"/>
    <row r="182" ht="33.95" customHeight="1" s="45"/>
    <row r="183" ht="36.9" customHeight="1" s="45"/>
    <row r="184" ht="36.9" customHeight="1" s="45"/>
    <row r="185" ht="36.2" customHeight="1" s="45"/>
    <row r="186" ht="36.2" customHeight="1" s="45"/>
    <row r="187" ht="36.2" customHeight="1" s="45"/>
    <row r="188" ht="36.2" customHeight="1" s="45"/>
    <row r="189" ht="33.95" customHeight="1" s="45"/>
    <row r="190" ht="33.95" customHeight="1" s="45"/>
    <row r="191" ht="33.95" customHeight="1" s="45"/>
    <row r="192" ht="36.9" customHeight="1" s="45"/>
    <row r="193" ht="36.9" customHeight="1" s="45"/>
    <row r="194" ht="33.95" customHeight="1" s="45"/>
    <row r="195" ht="33.95" customHeight="1" s="45"/>
    <row r="196" ht="33.95" customHeight="1" s="45"/>
    <row r="197" ht="33.95" customHeight="1" s="45"/>
    <row r="198" ht="36.9" customHeight="1" s="45"/>
    <row r="199" ht="36.9" customHeight="1" s="45"/>
    <row r="200" ht="33.95" customHeight="1" s="45"/>
    <row r="201" ht="33.95" customHeight="1" s="45"/>
    <row r="202" ht="33.95" customHeight="1" s="45"/>
    <row r="203" ht="33.95" customHeight="1" s="45"/>
    <row r="204" ht="36.2" customHeight="1" s="45"/>
    <row r="205" ht="36.2" customHeight="1" s="45"/>
    <row r="206" ht="36.2" customHeight="1" s="45"/>
    <row r="207" ht="33.95" customHeight="1" s="45"/>
    <row r="208" ht="33.95" customHeight="1" s="45"/>
    <row r="209" ht="33.95" customHeight="1" s="45"/>
    <row r="210" ht="33.95" customHeight="1" s="45"/>
    <row r="211" ht="33.95" customHeight="1" s="45"/>
    <row r="212" ht="36.9" customHeight="1" s="45"/>
    <row r="213" ht="36.9" customHeight="1" s="45"/>
    <row r="214" ht="36.2" customHeight="1" s="45"/>
    <row r="215" ht="36.2" customHeight="1" s="45"/>
    <row r="216" ht="36.2" customHeight="1" s="45"/>
    <row r="217" ht="36.2" customHeight="1" s="45"/>
    <row r="218" ht="36.2" customHeight="1" s="45"/>
    <row r="219" ht="33.95" customHeight="1" s="45"/>
    <row r="220" ht="33.95" customHeight="1" s="45"/>
    <row r="221" ht="33.95" customHeight="1" s="45"/>
    <row r="222" ht="33.95" customHeight="1" s="45"/>
    <row r="223" ht="36.9" customHeight="1" s="45"/>
    <row r="224" ht="36.9" customHeight="1" s="45"/>
    <row r="225" ht="33.95" customHeight="1" s="45"/>
    <row r="226" ht="33.95" customHeight="1" s="45"/>
    <row r="227" ht="33.95" customHeight="1" s="45"/>
    <row r="228" ht="33.95" customHeight="1" s="45"/>
    <row r="229" ht="36.9" customHeight="1" s="45"/>
    <row r="230" ht="36.9" customHeight="1" s="45"/>
    <row r="231" ht="36.2" customHeight="1" s="45"/>
    <row r="232" ht="36.2" customHeight="1" s="45"/>
    <row r="233" ht="33.95" customHeight="1" s="45"/>
    <row r="234" ht="33.95" customHeight="1" s="45"/>
    <row r="235" ht="33.95" customHeight="1" s="45"/>
    <row r="236" ht="33.95" customHeight="1" s="45"/>
    <row r="237" ht="36.9" customHeight="1" s="45"/>
    <row r="238" ht="36.9" customHeight="1" s="45"/>
    <row r="239" ht="36.9" customHeight="1" s="45"/>
    <row r="240" ht="33.95" customHeight="1" s="45"/>
    <row r="241" ht="33.95" customHeight="1" s="45"/>
    <row r="242" ht="33.95" customHeight="1" s="45"/>
    <row r="243" ht="36.9" customHeight="1" s="45"/>
    <row r="244" ht="33.95" customHeight="1" s="45"/>
    <row r="245" ht="33.95" customHeight="1" s="45"/>
    <row r="246" ht="33.95" customHeight="1" s="45"/>
    <row r="247" ht="33.95" customHeight="1" s="45"/>
    <row r="248" ht="36.2" customHeight="1" s="45"/>
    <row r="249" ht="36.2" customHeight="1" s="45"/>
    <row r="250" ht="36.2" customHeight="1" s="45"/>
    <row r="251" ht="36.2" customHeight="1" s="45"/>
    <row r="252" ht="36.2" customHeight="1" s="45"/>
    <row r="253" ht="36.9" customHeight="1" s="45"/>
    <row r="254" ht="36.9" customHeight="1" s="45"/>
    <row r="255" ht="33.95" customHeight="1" s="45"/>
    <row r="256" ht="33.95" customHeight="1" s="45"/>
    <row r="257" ht="33.95" customHeight="1" s="45"/>
    <row r="258" ht="33.95" customHeight="1" s="45"/>
    <row r="259" ht="33.95" customHeight="1" s="45"/>
    <row r="260" ht="36.9" customHeight="1" s="45"/>
    <row r="261" ht="36.9" customHeight="1" s="45"/>
    <row r="262" ht="33.95" customHeight="1" s="45"/>
    <row r="263" ht="33.95" customHeight="1" s="45"/>
    <row r="264" ht="33.95" customHeight="1" s="45"/>
    <row r="265" ht="33.95" customHeight="1" s="45"/>
    <row r="266" ht="36.2" customHeight="1" s="45"/>
    <row r="267" ht="36.2" customHeight="1" s="45"/>
    <row r="268" ht="36.2" customHeight="1" s="45"/>
    <row r="269" ht="36.2" customHeight="1" s="45"/>
    <row r="270" ht="36.2" customHeight="1" s="45"/>
    <row r="271" ht="36.9" customHeight="1" s="45"/>
    <row r="272" ht="36.9" customHeight="1" s="45"/>
    <row r="273" ht="33.95" customHeight="1" s="45"/>
    <row r="274" ht="33.95" customHeight="1" s="45"/>
    <row r="275" ht="33.95" customHeight="1" s="45"/>
    <row r="276" ht="33.95" customHeight="1" s="45"/>
    <row r="277" ht="33.95" customHeight="1" s="45"/>
    <row r="278" ht="33.95" customHeight="1" s="45"/>
    <row r="279" ht="33.95" customHeight="1" s="45"/>
    <row r="280" ht="36.9" customHeight="1" s="45"/>
    <row r="281" ht="36.9" customHeight="1" s="45"/>
    <row r="282" ht="33.95" customHeight="1" s="45"/>
    <row r="283" ht="33.95" customHeight="1" s="45"/>
    <row r="284" ht="33.95" customHeight="1" s="45"/>
    <row r="285" ht="36.9" customHeight="1" s="45"/>
    <row r="286" ht="36.9" customHeight="1" s="45"/>
    <row r="287" ht="36.9" customHeight="1" s="45"/>
    <row r="288" ht="33.95" customHeight="1" s="45"/>
    <row r="289" ht="33.95" customHeight="1" s="45"/>
    <row r="290" ht="33.95" customHeight="1" s="45"/>
    <row r="291" ht="33.95" customHeight="1" s="45"/>
    <row r="292" ht="36.2" customHeight="1" s="45"/>
    <row r="293" ht="36.2" customHeight="1" s="45"/>
    <row r="294" ht="36.2" customHeight="1" s="45"/>
    <row r="295" ht="36.2" customHeight="1" s="4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topLeftCell="B453" workbookViewId="0">
      <selection activeCell="I454" sqref="I454:I455"/>
    </sheetView>
  </sheetViews>
  <sheetFormatPr baseColWidth="8" defaultColWidth="11" defaultRowHeight="16.5"/>
  <cols>
    <col hidden="1" width="11" customWidth="1" style="25" min="1" max="1"/>
    <col width="14.2222222222222" customWidth="1" style="25" min="2" max="2"/>
    <col width="11" customWidth="1" style="25" min="3" max="3"/>
    <col width="22.7777777777778" customWidth="1" style="25" min="4" max="4"/>
    <col width="11" customWidth="1" style="25" min="5" max="9"/>
    <col width="11.1111111111111" customWidth="1" style="25" min="10" max="13"/>
    <col width="11" customWidth="1" style="25" min="14" max="16384"/>
  </cols>
  <sheetData>
    <row r="1">
      <c r="A1" s="41" t="inlineStr">
        <is>
          <t>填写ID</t>
        </is>
      </c>
      <c r="B1" s="41" t="inlineStr">
        <is>
          <t>时间</t>
        </is>
      </c>
      <c r="C1" s="41" t="inlineStr">
        <is>
          <t>检验:组别</t>
        </is>
      </c>
      <c r="D1" s="41" t="inlineStr">
        <is>
          <t>检验:加工单号</t>
        </is>
      </c>
      <c r="E1" s="41" t="inlineStr">
        <is>
          <t>检验:检验数量</t>
        </is>
      </c>
      <c r="F1" s="41" t="inlineStr">
        <is>
          <t>检验:抽检数</t>
        </is>
      </c>
      <c r="G1" s="41" t="inlineStr">
        <is>
          <t>检验:不良数</t>
        </is>
      </c>
      <c r="H1" s="41" t="inlineStr">
        <is>
          <t>检验:不良项目</t>
        </is>
      </c>
      <c r="I1" s="41" t="inlineStr">
        <is>
          <t>检验:判定</t>
        </is>
      </c>
      <c r="J1" s="41" t="inlineStr">
        <is>
          <t>签名:图片</t>
        </is>
      </c>
      <c r="K1" s="41" t="inlineStr">
        <is>
          <t>反馈单:图片_1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  <row r="3" ht="34.45" customHeight="1" s="45"/>
    <row r="4" ht="33.95" customHeight="1" s="45"/>
    <row r="5" ht="36.9" customHeight="1" s="45"/>
    <row r="6" ht="33.95" customHeight="1" s="45"/>
    <row r="7" ht="33.95" customHeight="1" s="45"/>
    <row r="8" ht="36.9" customHeight="1" s="45"/>
    <row r="9" ht="36.9" customHeight="1" s="45"/>
    <row r="10" ht="36.2" customHeight="1" s="45"/>
    <row r="11" ht="36.2" customHeight="1" s="45"/>
    <row r="12" ht="36.9" customHeight="1" s="45"/>
    <row r="13" ht="36.9" customHeight="1" s="45"/>
    <row r="14" ht="34.4" customHeight="1" s="45"/>
    <row r="15" ht="34.4" customHeight="1" s="45"/>
    <row r="16" ht="34.4" customHeight="1" s="45"/>
    <row r="17" ht="36.2" customHeight="1" s="45"/>
    <row r="18" ht="36.2" customHeight="1" s="45"/>
    <row r="19" ht="36.2" customHeight="1" s="45"/>
    <row r="20" ht="36.2" customHeight="1" s="45"/>
    <row r="21" ht="36.9" customHeight="1" s="45"/>
    <row r="22" ht="36.9" customHeight="1" s="45"/>
    <row r="23" ht="36.9" customHeight="1" s="45"/>
    <row r="24" ht="36.9" customHeight="1" s="45"/>
    <row r="25" ht="34.4" customHeight="1" s="45"/>
    <row r="26" ht="34.4" customHeight="1" s="45"/>
    <row r="27" ht="34.4" customHeight="1" s="45"/>
    <row r="28" ht="33.95" customHeight="1" s="45"/>
    <row r="29" ht="33.95" customHeight="1" s="45"/>
    <row r="30" ht="33.95" customHeight="1" s="45"/>
    <row r="31" ht="36.2" customHeight="1" s="45"/>
    <row r="32" ht="36.2" customHeight="1" s="45"/>
    <row r="33" ht="36.2" customHeight="1" s="45"/>
    <row r="34" ht="36.2" customHeight="1" s="45"/>
    <row r="35" ht="36.2" customHeight="1" s="45"/>
    <row r="36" ht="36.2" customHeight="1" s="45"/>
    <row r="37" ht="36.2" customHeight="1" s="45"/>
    <row r="38" ht="36.2" customHeight="1" s="45"/>
    <row r="39" ht="34.4" customHeight="1" s="45"/>
    <row r="40" ht="34.4" customHeight="1" s="45"/>
    <row r="41" ht="34.4" customHeight="1" s="45"/>
    <row r="42" ht="34.4" customHeight="1" s="45"/>
    <row r="43" ht="36.2" customHeight="1" s="45"/>
    <row r="44" ht="36.2" customHeight="1" s="45"/>
    <row r="45" ht="36.9" customHeight="1" s="45"/>
    <row r="46" ht="36.9" customHeight="1" s="45"/>
    <row r="47" ht="34.4" customHeight="1" s="45"/>
    <row r="48" ht="36.9" customHeight="1" s="45"/>
    <row r="49" ht="34.4" customHeight="1" s="45"/>
    <row r="50" ht="34.4" customHeight="1" s="45"/>
    <row r="51" ht="36.9" customHeight="1" s="45"/>
    <row r="52" ht="36.2" customHeight="1" s="45"/>
    <row r="53" ht="36.2" customHeight="1" s="45"/>
    <row r="54" ht="36.2" customHeight="1" s="45"/>
    <row r="55" ht="34.4" customHeight="1" s="45"/>
    <row r="56" ht="34.4" customHeight="1" s="45"/>
    <row r="57" ht="34.4" customHeight="1" s="45"/>
    <row r="58" ht="36.9" customHeight="1" s="45"/>
    <row r="59" ht="36.9" customHeight="1" s="45"/>
    <row r="60" ht="36.2" customHeight="1" s="45"/>
    <row r="61" ht="36.2" customHeight="1" s="45"/>
    <row r="62" ht="34.4" customHeight="1" s="45"/>
    <row r="63" ht="34.4" customHeight="1" s="45"/>
    <row r="64" ht="34.4" customHeight="1" s="45"/>
    <row r="65" ht="34.4" customHeight="1" s="45"/>
    <row r="66" ht="36.9" customHeight="1" s="45"/>
    <row r="67" ht="34.4" customHeight="1" s="45"/>
    <row r="68" ht="36.9" customHeight="1" s="45"/>
    <row r="69" ht="34.4" customHeight="1" s="45"/>
    <row r="70" ht="36.9" customHeight="1" s="45"/>
    <row r="71" ht="34.4" customHeight="1" s="45"/>
    <row r="72" ht="34.4" customHeight="1" s="45"/>
    <row r="73" ht="34.4" customHeight="1" s="45"/>
    <row r="74" ht="36.9" customHeight="1" s="45"/>
    <row r="75" ht="36.9" customHeight="1" s="45"/>
    <row r="76" ht="34.4" customHeight="1" s="45"/>
    <row r="77" ht="34.4" customHeight="1" s="45"/>
    <row r="78" ht="34.4" customHeight="1" s="45"/>
    <row r="79" ht="36.9" customHeight="1" s="45"/>
    <row r="80" ht="36.9" customHeight="1" s="45"/>
    <row r="81" ht="36.9" customHeight="1" s="45"/>
    <row r="82" ht="33.95" customHeight="1" s="45"/>
    <row r="83" ht="33.95" customHeight="1" s="45"/>
    <row r="84" ht="33.95" customHeight="1" s="45"/>
    <row r="85" ht="33.95" customHeight="1" s="45"/>
    <row r="86" ht="36.2" customHeight="1" s="45"/>
    <row r="87" ht="36.2" customHeight="1" s="45"/>
    <row r="88" ht="36.2" customHeight="1" s="45"/>
    <row r="89" ht="36.2" customHeight="1" s="45"/>
    <row r="90" ht="36.2" customHeight="1" s="45"/>
    <row r="91" ht="36.2" customHeight="1" s="45"/>
    <row r="92" ht="36.2" customHeight="1" s="45"/>
    <row r="93" ht="36.2" customHeight="1" s="45"/>
    <row r="94" ht="36.2" customHeight="1" s="45"/>
    <row r="95" ht="36.2" customHeight="1" s="45"/>
    <row r="96" ht="36.2" customHeight="1" s="45"/>
    <row r="97" ht="36.9" customHeight="1" s="45"/>
    <row r="98" ht="36.9" customHeight="1" s="45"/>
    <row r="99" ht="33.95" customHeight="1" s="45"/>
    <row r="100" ht="33.95" customHeight="1" s="45"/>
    <row r="101" ht="33.95" customHeight="1" s="45"/>
    <row r="102" ht="36.9" customHeight="1" s="45"/>
    <row r="103" ht="33.95" customHeight="1" s="45"/>
    <row r="104" ht="33.95" customHeight="1" s="45"/>
    <row r="105" ht="33.95" customHeight="1" s="45"/>
    <row r="106" ht="33.95" customHeight="1" s="45"/>
    <row r="107" ht="36.2" customHeight="1" s="45"/>
    <row r="108" ht="36.2" customHeight="1" s="45"/>
    <row r="109" ht="36.2" customHeight="1" s="45"/>
    <row r="110" ht="36.2" customHeight="1" s="45"/>
    <row r="111" ht="33.95" customHeight="1" s="45"/>
    <row r="112" ht="33.95" customHeight="1" s="45"/>
    <row r="113" ht="33.95" customHeight="1" s="45"/>
    <row r="114" ht="36.9" customHeight="1" s="45"/>
    <row r="115" ht="36.9" customHeight="1" s="45"/>
    <row r="116" ht="36.2" customHeight="1" s="45"/>
    <row r="117" ht="36.2" customHeight="1" s="45"/>
    <row r="118" ht="33.95" customHeight="1" s="45"/>
    <row r="119" ht="33.95" customHeight="1" s="45"/>
    <row r="120" ht="33.95" customHeight="1" s="45"/>
    <row r="121" ht="33.95" customHeight="1" s="45"/>
    <row r="122" ht="36.9" customHeight="1" s="45"/>
    <row r="123" ht="36.9" customHeight="1" s="45"/>
    <row r="124" ht="36.2" customHeight="1" s="45"/>
    <row r="125" ht="36.2" customHeight="1" s="45"/>
    <row r="126" ht="33.95" customHeight="1" s="45"/>
    <row r="127" ht="33.95" customHeight="1" s="45"/>
    <row r="128" ht="33.95" customHeight="1" s="45"/>
    <row r="129" ht="33.95" customHeight="1" s="45"/>
    <row r="130" ht="36.9" customHeight="1" s="45"/>
    <row r="131" ht="36.9" customHeight="1" s="45"/>
    <row r="132" ht="36.2" customHeight="1" s="45"/>
    <row r="133" ht="36.2" customHeight="1" s="45"/>
    <row r="134" ht="33.95" customHeight="1" s="45"/>
    <row r="135" ht="33.95" customHeight="1" s="45"/>
    <row r="136" ht="33.95" customHeight="1" s="45"/>
    <row r="137" ht="36.9" customHeight="1" s="45"/>
    <row r="138" ht="36.9" customHeight="1" s="45"/>
    <row r="139" ht="33.95" customHeight="1" s="45"/>
    <row r="140" ht="33.95" customHeight="1" s="45"/>
    <row r="141" ht="33.95" customHeight="1" s="45"/>
    <row r="142" ht="33.95" customHeight="1" s="45"/>
    <row r="143" ht="36.2" customHeight="1" s="45"/>
    <row r="144" ht="36.2" customHeight="1" s="45"/>
    <row r="145" ht="36.2" customHeight="1" s="45"/>
    <row r="146" ht="33.95" customHeight="1" s="45"/>
    <row r="147" ht="33.95" customHeight="1" s="45"/>
    <row r="148" ht="33.95" customHeight="1" s="45"/>
    <row r="149" ht="36.9" customHeight="1" s="45"/>
    <row r="150" ht="36.9" customHeight="1" s="45"/>
    <row r="151" ht="36.9" customHeight="1" s="45"/>
    <row r="152" ht="36.9" customHeight="1" s="45"/>
    <row r="153" ht="33.95" customHeight="1" s="45"/>
    <row r="154" ht="33.95" customHeight="1" s="45"/>
    <row r="155" ht="33.95" customHeight="1" s="45"/>
    <row r="156" ht="33.95" customHeight="1" s="45"/>
    <row r="157" ht="33.95" customHeight="1" s="45"/>
    <row r="158" ht="33.95" customHeight="1" s="45"/>
    <row r="159" ht="33.95" customHeight="1" s="45"/>
    <row r="160" ht="33.95" customHeight="1" s="45"/>
    <row r="161" ht="36.9" customHeight="1" s="45"/>
    <row r="162" ht="36.9" customHeight="1" s="45"/>
    <row r="163" ht="33.95" customHeight="1" s="45"/>
    <row r="164" ht="33.95" customHeight="1" s="45"/>
    <row r="165" ht="33.95" customHeight="1" s="45"/>
    <row r="166" ht="36.9" customHeight="1" s="45"/>
    <row r="167" ht="36.9" customHeight="1" s="45"/>
    <row r="168" ht="36.9" customHeight="1" s="45"/>
    <row r="169" ht="36.9" customHeight="1" s="45"/>
    <row r="170" ht="33.95" customHeight="1" s="45"/>
    <row r="171" ht="33.95" customHeight="1" s="45"/>
    <row r="172" ht="36.9" customHeight="1" s="45"/>
    <row r="173" ht="33.95" customHeight="1" s="45"/>
    <row r="174" ht="33.95" customHeight="1" s="45"/>
    <row r="175" ht="33.95" customHeight="1" s="45"/>
    <row r="176" ht="36.2" customHeight="1" s="45"/>
    <row r="177" ht="36.2" customHeight="1" s="45"/>
    <row r="178" ht="36.2" customHeight="1" s="45"/>
    <row r="179" ht="36.2" customHeight="1" s="45"/>
    <row r="180" ht="33.95" customHeight="1" s="45"/>
    <row r="181" ht="33.95" customHeight="1" s="45"/>
    <row r="182" ht="33.95" customHeight="1" s="45"/>
    <row r="183" ht="36.9" customHeight="1" s="45"/>
    <row r="184" ht="36.9" customHeight="1" s="45"/>
    <row r="185" ht="36.2" customHeight="1" s="45"/>
    <row r="186" ht="36.2" customHeight="1" s="45"/>
    <row r="187" ht="36.2" customHeight="1" s="45"/>
    <row r="188" ht="36.2" customHeight="1" s="45"/>
    <row r="189" ht="33.95" customHeight="1" s="45"/>
    <row r="190" ht="33.95" customHeight="1" s="45"/>
    <row r="191" ht="33.95" customHeight="1" s="45"/>
    <row r="192" ht="36.9" customHeight="1" s="45"/>
    <row r="193" ht="36.9" customHeight="1" s="45"/>
    <row r="194" ht="33.95" customHeight="1" s="45"/>
    <row r="195" ht="33.95" customHeight="1" s="45"/>
    <row r="196" ht="33.95" customHeight="1" s="45"/>
    <row r="197" ht="33.95" customHeight="1" s="45"/>
    <row r="198" ht="36.9" customHeight="1" s="45"/>
    <row r="199" ht="36.9" customHeight="1" s="45"/>
    <row r="200" ht="33.95" customHeight="1" s="45"/>
    <row r="201" ht="33.95" customHeight="1" s="45"/>
    <row r="202" ht="33.95" customHeight="1" s="45"/>
    <row r="203" ht="33.95" customHeight="1" s="45"/>
    <row r="204" ht="36.2" customHeight="1" s="45"/>
    <row r="205" ht="36.2" customHeight="1" s="45"/>
    <row r="206" ht="36.2" customHeight="1" s="45"/>
    <row r="207" ht="33.95" customHeight="1" s="45"/>
    <row r="208" ht="33.95" customHeight="1" s="45"/>
    <row r="209" ht="33.95" customHeight="1" s="45"/>
    <row r="210" ht="33.95" customHeight="1" s="45"/>
    <row r="211" ht="33.95" customHeight="1" s="45"/>
    <row r="212" ht="36.9" customHeight="1" s="45"/>
    <row r="213" ht="36.9" customHeight="1" s="45"/>
    <row r="214" ht="36.2" customHeight="1" s="45"/>
    <row r="215" ht="36.2" customHeight="1" s="45"/>
    <row r="216" ht="36.2" customHeight="1" s="45"/>
    <row r="217" ht="36.2" customHeight="1" s="45"/>
    <row r="218" ht="36.2" customHeight="1" s="45"/>
    <row r="219" ht="33.95" customHeight="1" s="45"/>
    <row r="220" ht="33.95" customHeight="1" s="45"/>
    <row r="221" ht="33.95" customHeight="1" s="45"/>
    <row r="222" ht="33.95" customHeight="1" s="45"/>
    <row r="223" ht="36.9" customHeight="1" s="45"/>
    <row r="224" ht="36.9" customHeight="1" s="45"/>
    <row r="225" ht="33.95" customHeight="1" s="45"/>
    <row r="226" ht="33.95" customHeight="1" s="45"/>
    <row r="227" ht="33.95" customHeight="1" s="45"/>
    <row r="228" ht="33.95" customHeight="1" s="45"/>
    <row r="229" ht="36.9" customHeight="1" s="45"/>
    <row r="230" ht="36.9" customHeight="1" s="45"/>
    <row r="231" ht="36.2" customHeight="1" s="45"/>
    <row r="232" ht="36.2" customHeight="1" s="45"/>
    <row r="233" ht="33.95" customHeight="1" s="45"/>
    <row r="234" ht="33.95" customHeight="1" s="45"/>
    <row r="235" ht="33.95" customHeight="1" s="45"/>
    <row r="236" ht="33.95" customHeight="1" s="45"/>
    <row r="237" ht="36.9" customHeight="1" s="45"/>
    <row r="238" ht="36.9" customHeight="1" s="45"/>
    <row r="239" ht="36.9" customHeight="1" s="45"/>
    <row r="240" ht="33.95" customHeight="1" s="45"/>
    <row r="241" ht="33.95" customHeight="1" s="45"/>
    <row r="242" ht="33.95" customHeight="1" s="45"/>
    <row r="243" ht="36.9" customHeight="1" s="45"/>
    <row r="244" ht="33.95" customHeight="1" s="45"/>
    <row r="245" ht="33.95" customHeight="1" s="45"/>
    <row r="246" ht="33.95" customHeight="1" s="45"/>
    <row r="247" ht="33.95" customHeight="1" s="45"/>
    <row r="248" ht="36.2" customHeight="1" s="45"/>
    <row r="249" ht="36.2" customHeight="1" s="45"/>
    <row r="250" ht="36.2" customHeight="1" s="45"/>
    <row r="251" ht="36.2" customHeight="1" s="45"/>
    <row r="252" ht="36.2" customHeight="1" s="45"/>
    <row r="253" ht="36.9" customHeight="1" s="45"/>
    <row r="254" ht="36.9" customHeight="1" s="45"/>
    <row r="255" ht="33.95" customHeight="1" s="45"/>
    <row r="256" ht="33.95" customHeight="1" s="45"/>
    <row r="257" ht="33.95" customHeight="1" s="45"/>
    <row r="258" ht="33.95" customHeight="1" s="45"/>
    <row r="259" ht="33.95" customHeight="1" s="45"/>
    <row r="260" ht="36.9" customHeight="1" s="45"/>
    <row r="261" ht="36.9" customHeight="1" s="45"/>
    <row r="262" ht="33.95" customHeight="1" s="45"/>
    <row r="263" ht="33.95" customHeight="1" s="45"/>
    <row r="264" ht="33.95" customHeight="1" s="45"/>
    <row r="265" ht="33.95" customHeight="1" s="45"/>
    <row r="266" ht="36.2" customHeight="1" s="45"/>
    <row r="267" ht="36.2" customHeight="1" s="45"/>
    <row r="268" ht="36.2" customHeight="1" s="45"/>
    <row r="269" ht="36.2" customHeight="1" s="45"/>
    <row r="270" ht="36.2" customHeight="1" s="45"/>
    <row r="271" ht="36.9" customHeight="1" s="45"/>
    <row r="272" ht="36.9" customHeight="1" s="45"/>
    <row r="273" ht="33.95" customHeight="1" s="45"/>
    <row r="274" ht="33.95" customHeight="1" s="45"/>
    <row r="275" ht="33.95" customHeight="1" s="45"/>
    <row r="276" ht="33.95" customHeight="1" s="45"/>
    <row r="277" ht="33.95" customHeight="1" s="45"/>
    <row r="278" ht="33.95" customHeight="1" s="45"/>
    <row r="279" ht="33.95" customHeight="1" s="45"/>
    <row r="280" ht="36.9" customHeight="1" s="45"/>
    <row r="281" ht="36.9" customHeight="1" s="45"/>
    <row r="282" ht="33.95" customHeight="1" s="45"/>
    <row r="283" ht="33.95" customHeight="1" s="45"/>
    <row r="284" ht="33.95" customHeight="1" s="45"/>
    <row r="285" ht="36.9" customHeight="1" s="45"/>
    <row r="286" ht="36.9" customHeight="1" s="45"/>
    <row r="287" ht="36.9" customHeight="1" s="45"/>
    <row r="288" ht="33.95" customHeight="1" s="45"/>
    <row r="289" ht="33.95" customHeight="1" s="45"/>
    <row r="290" ht="33.95" customHeight="1" s="45"/>
    <row r="291" ht="33.95" customHeight="1" s="45"/>
    <row r="292" ht="36.2" customHeight="1" s="45"/>
    <row r="293" ht="36.2" customHeight="1" s="45"/>
    <row r="294" ht="36.2" customHeight="1" s="45"/>
    <row r="295" ht="36.2" customHeight="1" s="45"/>
    <row r="300" ht="36.9" customHeight="1" s="45"/>
    <row r="301" ht="36.9" customHeight="1" s="45"/>
    <row r="302" ht="33.95" customHeight="1" s="45"/>
    <row r="303" ht="33.95" customHeight="1" s="45"/>
    <row r="304" ht="33.95" customHeight="1" s="45"/>
    <row r="305" ht="33.95" customHeight="1" s="45"/>
    <row r="306" ht="33.95" customHeight="1" s="45"/>
    <row r="307" ht="36.2" customHeight="1" s="45"/>
    <row r="308" ht="36.2" customHeight="1" s="45"/>
    <row r="309" ht="36.9" customHeight="1" s="45"/>
    <row r="310" ht="36.9" customHeight="1" s="45"/>
    <row r="311" ht="33.95" customHeight="1" s="45"/>
    <row r="312" ht="33.95" customHeight="1" s="45"/>
    <row r="313" ht="33.95" customHeight="1" s="45"/>
    <row r="314" ht="33.95" customHeight="1" s="45"/>
    <row r="315" ht="36.2" customHeight="1" s="45"/>
    <row r="316" ht="36.2" customHeight="1" s="45"/>
    <row r="317" ht="33.95" customHeight="1" s="45"/>
    <row r="318" ht="81.8" customHeight="1" s="45"/>
    <row r="319" ht="77.75" customHeight="1" s="45"/>
    <row r="320" ht="62.15" customHeight="1" s="45"/>
    <row r="321" ht="33.95" customHeight="1" s="45"/>
    <row r="322" ht="33.95" customHeight="1" s="45"/>
    <row r="323" ht="33.95" customHeight="1" s="45"/>
    <row r="324" ht="33.95" customHeight="1" s="45"/>
    <row r="325" ht="36.9" customHeight="1" s="45"/>
    <row r="326" ht="36.9" customHeight="1" s="45"/>
    <row r="327" ht="36.2" customHeight="1" s="45"/>
    <row r="328" ht="36.2" customHeight="1" s="45"/>
    <row r="329" ht="36.2" customHeight="1" s="45"/>
    <row r="330" ht="75" customHeight="1" s="45"/>
    <row r="331" ht="75" customHeight="1" s="45"/>
    <row r="332" ht="36.9" customHeight="1" s="45"/>
    <row r="333" ht="36.9" customHeight="1" s="45"/>
    <row r="334" ht="33.95" customHeight="1" s="45"/>
    <row r="335" ht="33.95" customHeight="1" s="45"/>
    <row r="336" ht="33.95" customHeight="1" s="45"/>
    <row r="337" ht="33.95" customHeight="1" s="45"/>
    <row r="338" ht="33.95" customHeight="1" s="45"/>
    <row r="339" ht="33.95" customHeight="1" s="45"/>
    <row r="340" ht="33.95" customHeight="1" s="45"/>
    <row r="341" ht="36.9" customHeight="1" s="45"/>
    <row r="342" ht="36.9" customHeight="1" s="45"/>
    <row r="343" ht="36.2" customHeight="1" s="45"/>
    <row r="344" ht="36.2" customHeight="1" s="45"/>
    <row r="345" ht="75" customHeight="1" s="45"/>
    <row r="346" ht="75" customHeight="1" s="45"/>
    <row r="347" ht="36.9" customHeight="1" s="45"/>
    <row r="348" ht="36.9" customHeight="1" s="45"/>
    <row r="349" ht="33.95" customHeight="1" s="45"/>
    <row r="350" ht="33.95" customHeight="1" s="45"/>
    <row r="351" ht="33.95" customHeight="1" s="45"/>
    <row r="352" ht="36.9" customHeight="1" s="45"/>
    <row r="353" ht="36.9" customHeight="1" s="45"/>
    <row r="354" ht="36.9" customHeight="1" s="45"/>
    <row r="355" ht="36.9" customHeight="1" s="45"/>
    <row r="356" ht="33.95" customHeight="1" s="45"/>
    <row r="357" ht="33.95" customHeight="1" s="45"/>
    <row r="358" ht="33.95" customHeight="1" s="45"/>
    <row r="359" ht="33.95" customHeight="1" s="45"/>
    <row r="360" ht="33.95" customHeight="1" s="45"/>
    <row r="361" ht="33.95" customHeight="1" s="45"/>
    <row r="362" ht="33.95" customHeight="1" s="45"/>
    <row r="363" ht="36.9" customHeight="1" s="45"/>
    <row r="364" ht="36.9" customHeight="1" s="45"/>
    <row r="365" ht="36.2" customHeight="1" s="45"/>
    <row r="366" ht="36.2" customHeight="1" s="45"/>
    <row r="367" ht="36.2" customHeight="1" s="45"/>
    <row r="368" ht="36.2" customHeight="1" s="45"/>
    <row r="369" ht="36.2" customHeight="1" s="45"/>
    <row r="370" ht="36.9" customHeight="1" s="45"/>
    <row r="371" ht="36.9" customHeight="1" s="45"/>
    <row r="372" ht="33.95" customHeight="1" s="45"/>
    <row r="373" ht="33.95" customHeight="1" s="45"/>
    <row r="374" ht="33.95" customHeight="1" s="45"/>
    <row r="375" ht="33.95" customHeight="1" s="45"/>
    <row r="376" ht="33.95" customHeight="1" s="45"/>
    <row r="377" ht="33.95" customHeight="1" s="45"/>
    <row r="378" ht="33.95" customHeight="1" s="45"/>
    <row r="379" ht="33.95" customHeight="1" s="45"/>
    <row r="380" ht="36.9" customHeight="1" s="45"/>
    <row r="381" ht="36.9" customHeight="1" s="45"/>
    <row r="382" ht="33.95" customHeight="1" s="45"/>
    <row r="383" ht="33.95" customHeight="1" s="45"/>
    <row r="384" ht="33.95" customHeight="1" s="45"/>
    <row r="385" ht="36.9" customHeight="1" s="45"/>
    <row r="386" ht="36.9" customHeight="1" s="45"/>
    <row r="387" ht="36.2" customHeight="1" s="45"/>
    <row r="388" ht="36.2" customHeight="1" s="45"/>
    <row r="389" ht="36.2" customHeight="1" s="45"/>
    <row r="390" ht="36.2" customHeight="1" s="45"/>
    <row r="391" ht="33.95" customHeight="1" s="45"/>
    <row r="392" ht="33.95" customHeight="1" s="45"/>
    <row r="393" ht="36.9" customHeight="1" s="45"/>
    <row r="394" ht="36.9" customHeight="1" s="45"/>
    <row r="395" ht="36.9" customHeight="1" s="45"/>
    <row r="396" ht="33.95" customHeight="1" s="45"/>
    <row r="397" ht="33.95" customHeight="1" s="45"/>
    <row r="398" ht="33.95" customHeight="1" s="45"/>
    <row r="399" ht="33.95" customHeight="1" s="45"/>
    <row r="400" ht="36.9" customHeight="1" s="45"/>
    <row r="401" ht="36.9" customHeight="1" s="45"/>
    <row r="402" ht="36.9" customHeight="1" s="45"/>
    <row r="403" ht="33.95" customHeight="1" s="45"/>
    <row r="404" ht="33.95" customHeight="1" s="45"/>
    <row r="405" ht="33.95" customHeight="1" s="45"/>
    <row r="406" ht="33.95" customHeight="1" s="45"/>
    <row r="407" ht="36.9" customHeight="1" s="45"/>
    <row r="408" ht="36.9" customHeight="1" s="45"/>
    <row r="409" ht="33.95" customHeight="1" s="45"/>
    <row r="410" ht="33.95" customHeight="1" s="45"/>
    <row r="411" ht="33.95" customHeight="1" s="45"/>
    <row r="412" ht="33.95" customHeight="1" s="45"/>
    <row r="413" ht="33.95" customHeight="1" s="45"/>
    <row r="414" ht="36.9" customHeight="1" s="45"/>
    <row r="415" ht="36.9" customHeight="1" s="45"/>
    <row r="416" ht="36.2" customHeight="1" s="45"/>
    <row r="417" ht="36.2" customHeight="1" s="45"/>
    <row r="418" ht="36.2" customHeight="1" s="45"/>
    <row r="419" ht="36.2" customHeight="1" s="45"/>
    <row r="420" ht="36.2" customHeight="1" s="45"/>
    <row r="421" ht="36.9" customHeight="1" s="45"/>
    <row r="422" ht="36.9" customHeight="1" s="45"/>
    <row r="423" ht="33.95" customHeight="1" s="45"/>
    <row r="424" ht="33.95" customHeight="1" s="45"/>
    <row r="425" ht="33.95" customHeight="1" s="45"/>
    <row r="426" ht="33.95" customHeight="1" s="45"/>
    <row r="427" ht="33.95" customHeight="1" s="45"/>
    <row r="428" ht="33.95" customHeight="1" s="45"/>
    <row r="429" ht="36.9" customHeight="1" s="45"/>
    <row r="430" ht="36.9" customHeight="1" s="45"/>
    <row r="431" ht="36.2" customHeight="1" s="45"/>
    <row r="432" ht="36.2" customHeight="1" s="45"/>
    <row r="433" ht="36.2" customHeight="1" s="45"/>
    <row r="434" ht="33.95" customHeight="1" s="45"/>
    <row r="435" ht="33.95" customHeight="1" s="45"/>
    <row r="436" ht="36.9" customHeight="1" s="45"/>
    <row r="437" ht="36.9" customHeight="1" s="45"/>
    <row r="438" ht="36.9" customHeight="1" s="45"/>
    <row r="439" ht="36.9" customHeight="1" s="45"/>
    <row r="440" ht="33.95" customHeight="1" s="45"/>
    <row r="441" ht="33.95" customHeight="1" s="45"/>
    <row r="442" ht="33.95" customHeight="1" s="45"/>
    <row r="443" ht="36.2" customHeight="1" s="45"/>
    <row r="444" ht="36.2" customHeight="1" s="45"/>
    <row r="445" ht="36.2" customHeight="1" s="45"/>
    <row r="446" ht="33.95" customHeight="1" s="45"/>
    <row r="447" ht="33.95" customHeight="1" s="45"/>
    <row r="448" ht="36.9" customHeight="1" s="45"/>
    <row r="449" ht="36.9" customHeight="1" s="45"/>
    <row r="450" ht="36.9" customHeight="1" s="45"/>
    <row r="451" ht="36.9" customHeight="1" s="45"/>
    <row r="452" ht="33.95" customHeight="1" s="45"/>
    <row r="453" ht="33.95" customHeight="1" s="45"/>
    <row r="454" ht="33.95" customHeight="1" s="45"/>
    <row r="455" ht="33.95" customHeight="1" s="45"/>
    <row r="456" ht="36.9" customHeight="1" s="45"/>
    <row r="457" ht="36.9" customHeight="1" s="45"/>
    <row r="458" ht="33.95" customHeight="1" s="45"/>
    <row r="459" ht="33.95" customHeight="1" s="45"/>
    <row r="460" ht="36.9" customHeight="1" s="45"/>
    <row r="461" ht="36.9" customHeight="1" s="45"/>
    <row r="462" ht="36.9" customHeight="1" s="45"/>
    <row r="463" ht="33.95" customHeight="1" s="45"/>
    <row r="464" ht="33.95" customHeight="1" s="45"/>
    <row r="465" ht="33.95" customHeight="1" s="45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M61"/>
  <sheetViews>
    <sheetView tabSelected="1" topLeftCell="A11" zoomScale="90" zoomScaleNormal="90" workbookViewId="0">
      <selection activeCell="L28" sqref="L28"/>
    </sheetView>
  </sheetViews>
  <sheetFormatPr baseColWidth="8" defaultColWidth="11.3333333333333" defaultRowHeight="16.5"/>
  <cols>
    <col width="11.3333333333333" customWidth="1" style="25" min="1" max="3"/>
    <col width="4" customWidth="1" style="25" min="4" max="4"/>
    <col width="16.9333333333333" customWidth="1" style="25" min="5" max="5"/>
    <col width="21.0888888888889" customWidth="1" style="25" min="6" max="6"/>
    <col width="9.555555555555561" customWidth="1" style="25" min="7" max="7"/>
    <col width="16.8888888888889" customWidth="1" style="23" min="8" max="8"/>
    <col width="15.8888888888889" customWidth="1" style="23" min="9" max="9"/>
    <col width="30" customWidth="1" style="23" min="10" max="10"/>
    <col width="11.7777777777778" customWidth="1" style="25" min="11" max="11"/>
    <col width="18" customWidth="1" style="25" min="12" max="12"/>
    <col width="18" customWidth="1" style="25" min="13" max="13"/>
    <col width="11.3333333333333" customWidth="1" style="25" min="14" max="16384"/>
  </cols>
  <sheetData>
    <row r="1" ht="33.75" customHeight="1" s="45">
      <c r="A1" s="5" t="inlineStr">
        <is>
          <t>本日日期</t>
        </is>
      </c>
      <c r="B1" s="6">
        <f>TODAY()</f>
        <v/>
      </c>
      <c r="C1" s="7" t="n"/>
      <c r="E1" s="10" t="inlineStr">
        <is>
          <t>周别</t>
        </is>
      </c>
      <c r="F1" s="9">
        <f>WEEKNUM(B1,2)</f>
        <v/>
      </c>
      <c r="L1" t="inlineStr">
        <is>
          <t>开始日期（含）</t>
        </is>
      </c>
      <c r="M1" t="inlineStr">
        <is>
          <t>结束日期（含）</t>
        </is>
      </c>
    </row>
    <row r="2" ht="22.5" customHeight="1" s="45">
      <c r="A2" s="10" t="n">
        <v>1</v>
      </c>
      <c r="B2" s="10" t="inlineStr">
        <is>
          <t>区间出货抽检不良统计表</t>
        </is>
      </c>
      <c r="E2" s="12">
        <f>$A$2</f>
        <v/>
      </c>
      <c r="F2" s="12" t="inlineStr">
        <is>
          <t>月各组返工批次统计</t>
        </is>
      </c>
      <c r="H2" s="12">
        <f>$A$2</f>
        <v/>
      </c>
      <c r="I2" s="21" t="inlineStr">
        <is>
          <t>月检验数据表</t>
        </is>
      </c>
      <c r="J2" s="21" t="n"/>
      <c r="L2" s="46" t="n">
        <v>46023</v>
      </c>
      <c r="M2" s="46" t="n">
        <v>46053</v>
      </c>
    </row>
    <row r="3">
      <c r="A3" s="13" t="inlineStr">
        <is>
          <t>项              目</t>
        </is>
      </c>
      <c r="B3" s="14" t="inlineStr">
        <is>
          <t>不良批次</t>
        </is>
      </c>
      <c r="C3" s="14" t="inlineStr">
        <is>
          <t>排名</t>
        </is>
      </c>
      <c r="E3" s="14" t="inlineStr">
        <is>
          <t>组别</t>
        </is>
      </c>
      <c r="F3" s="14" t="inlineStr">
        <is>
          <t>返工批次</t>
        </is>
      </c>
      <c r="H3" s="14" t="inlineStr">
        <is>
          <t>检验数量</t>
        </is>
      </c>
      <c r="I3" s="14" t="inlineStr">
        <is>
          <t>抽检数</t>
        </is>
      </c>
      <c r="J3" s="14" t="inlineStr">
        <is>
          <t>不良数</t>
        </is>
      </c>
      <c r="K3" s="14" t="inlineStr">
        <is>
          <t>不良率</t>
        </is>
      </c>
    </row>
    <row r="4">
      <c r="A4" s="15" t="inlineStr">
        <is>
          <t>端子包角不良</t>
        </is>
      </c>
      <c r="B4" s="2">
        <f>COUNTIFS('成品日检表'!$B$2:$B$2,"&gt;="&amp;$L$2,'成品日检表'!$B$2:$B$2,"&lt;"&amp;($M$2+1),'成品日检表'!$H$2:$H$2,"*a*")</f>
        <v/>
      </c>
      <c r="C4" s="2">
        <f>RANK(B4,$B$4:$B$27,0)</f>
        <v/>
      </c>
      <c r="E4" s="14" t="inlineStr">
        <is>
          <t>U1</t>
        </is>
      </c>
      <c r="F4" s="2">
        <f>COUNTIFS('成品日检表'!$B$2:$B$2,"&gt;="&amp;$L$2,'成品日检表'!$B$2:$B$2,"&lt;"&amp;($M$2+1),'成品日检表'!$C$2:$C$2,E4,'成品日检表'!$I$2:$I$2,"返工")</f>
        <v/>
      </c>
      <c r="H4" s="2">
        <f>SUMIFS('成品日检表'!$E$2:$E$2,'成品日检表'!$B$2:$B$2,"&gt;="&amp;$L$2,'成品日检表'!$B$2:$B$2,"&lt;"&amp;($M$2+1))</f>
        <v/>
      </c>
      <c r="I4" s="2">
        <f>SUMIFS('成品日检表'!$F$2:$F$2,'成品日检表'!$B$2:$B$2,"&gt;="&amp;$L$2,'成品日检表'!$B$2:$B$2,"&lt;"&amp;($M$2+1))</f>
        <v/>
      </c>
      <c r="J4" s="2">
        <f>SUMIFS('成品日检表'!$G$2:$G$2,'成品日检表'!$B$2:$B$2,"&gt;="&amp;$L$2,'成品日检表'!$B$2:$B$2,"&lt;"&amp;($M$2+1))</f>
        <v/>
      </c>
      <c r="K4" s="22">
        <f>IFERROR(J4/I4,0)</f>
        <v/>
      </c>
    </row>
    <row r="5">
      <c r="A5" s="15" t="inlineStr">
        <is>
          <t>走线槽漏扎带</t>
        </is>
      </c>
      <c r="B5" s="2">
        <f>COUNTIFS('成品日检表'!$B$2:$B$2,"&gt;="&amp;$L$2,'成品日检表'!$B$2:$B$2,"&lt;"&amp;($M$2+1),'成品日检表'!$H$2:$H$2,"*b*")</f>
        <v/>
      </c>
      <c r="C5" s="2">
        <f>RANK(B5,$B$4:$B$27,0)</f>
        <v/>
      </c>
      <c r="E5" s="14" t="inlineStr">
        <is>
          <t>U2</t>
        </is>
      </c>
      <c r="F5" s="2">
        <f>COUNTIFS('成品日检表'!$B$2:$B$2,"&gt;="&amp;$L$2,'成品日检表'!$B$2:$B$2,"&lt;"&amp;($M$2+1),'成品日检表'!$C$2:$C$2,E5,'成品日检表'!$I$2:$I$2,"返工")</f>
        <v/>
      </c>
    </row>
    <row r="6">
      <c r="A6" s="15" t="inlineStr">
        <is>
          <t>漏锁片</t>
        </is>
      </c>
      <c r="B6" s="2">
        <f>COUNTIFS('成品日检表'!$B$2:$B$2,"&gt;="&amp;$L$2,'成品日检表'!$B$2:$B$2,"&lt;"&amp;($M$2+1),'成品日检表'!$H$2:$H$2,"*c*")</f>
        <v/>
      </c>
      <c r="C6" s="2">
        <f>RANK(B6,$B$4:$B$27,0)</f>
        <v/>
      </c>
      <c r="E6" s="14" t="inlineStr">
        <is>
          <t>U3</t>
        </is>
      </c>
      <c r="F6" s="2">
        <f>COUNTIFS('成品日检表'!$B$2:$B$2,"&gt;="&amp;$L$2,'成品日检表'!$B$2:$B$2,"&lt;"&amp;($M$2+1),'成品日检表'!$C$2:$C$2,E6,'成品日检表'!$I$2:$I$2,"返工")</f>
        <v/>
      </c>
    </row>
    <row r="7">
      <c r="A7" s="15" t="inlineStr">
        <is>
          <t>漏扣卡扣</t>
        </is>
      </c>
      <c r="B7" s="16">
        <f>COUNTIFS('成品日检表'!$B$2:$B$2,"&gt;="&amp;$L$2,'成品日检表'!$B$2:$B$2,"&lt;"&amp;($M$2+1),'成品日检表'!$H$2:$H$2,"*d*")</f>
        <v/>
      </c>
      <c r="C7" s="2">
        <f>RANK(B7,$B$4:$B$27,0)</f>
        <v/>
      </c>
      <c r="E7" s="14" t="inlineStr">
        <is>
          <t>U4</t>
        </is>
      </c>
      <c r="F7" s="2">
        <f>COUNTIFS('成品日检表'!$B$2:$B$2,"&gt;="&amp;$L$2,'成品日检表'!$B$2:$B$2,"&lt;"&amp;($M$2+1),'成品日检表'!$C$2:$C$2,E7,'成品日检表'!$I$2:$I$2,"返工")</f>
        <v/>
      </c>
    </row>
    <row r="8">
      <c r="A8" s="15" t="inlineStr">
        <is>
          <t>漏剪扎带</t>
        </is>
      </c>
      <c r="B8" s="16">
        <f>COUNTIFS('成品日检表'!$B$2:$B$2,"&gt;="&amp;$L$2,'成品日检表'!$B$2:$B$2,"&lt;"&amp;($M$2+1),'成品日检表'!$H$2:$H$2,"*e*")</f>
        <v/>
      </c>
      <c r="C8" s="2">
        <f>RANK(B8,$B$4:$B$27,0)</f>
        <v/>
      </c>
      <c r="E8" s="14" t="inlineStr">
        <is>
          <t>U5</t>
        </is>
      </c>
      <c r="F8" s="2">
        <f>COUNTIFS('成品日检表'!$B$2:$B$2,"&gt;="&amp;$L$2,'成品日检表'!$B$2:$B$2,"&lt;"&amp;($M$2+1),'成品日检表'!$C$2:$C$2,E8,'成品日检表'!$I$2:$I$2,"返工")</f>
        <v/>
      </c>
    </row>
    <row r="9">
      <c r="A9" s="15" t="inlineStr">
        <is>
          <t>插入不足</t>
        </is>
      </c>
      <c r="B9" s="2">
        <f>COUNTIFS('成品日检表'!$B$2:$B$2,"&gt;="&amp;$L$2,'成品日检表'!$B$2:$B$2,"&lt;"&amp;($M$2+1),'成品日检表'!$H$2:$H$2,"*f*")</f>
        <v/>
      </c>
      <c r="C9" s="2">
        <f>RANK(B9,$B$4:$B$27,0)</f>
        <v/>
      </c>
      <c r="E9" s="14" t="inlineStr">
        <is>
          <t>U6</t>
        </is>
      </c>
      <c r="F9" s="2">
        <f>COUNTIFS('成品日检表'!$B$2:$B$2,"&gt;="&amp;$L$2,'成品日检表'!$B$2:$B$2,"&lt;"&amp;($M$2+1),'成品日检表'!$C$2:$C$2,E9,'成品日检表'!$I$2:$I$2,"返工")</f>
        <v/>
      </c>
    </row>
    <row r="10">
      <c r="A10" s="15" t="inlineStr">
        <is>
          <t>漏胶</t>
        </is>
      </c>
      <c r="B10" s="16">
        <f>COUNTIFS('成品日检表'!$B$2:$B$2,"&gt;="&amp;$L$2,'成品日检表'!$B$2:$B$2,"&lt;"&amp;($M$2+1),'成品日检表'!$H$2:$H$2,"*g*")</f>
        <v/>
      </c>
      <c r="C10" s="2">
        <f>RANK(B10,$B$4:$B$27,0)</f>
        <v/>
      </c>
      <c r="E10" s="14" t="inlineStr">
        <is>
          <t>U7</t>
        </is>
      </c>
      <c r="F10" s="2">
        <f>COUNTIFS('成品日检表'!$B$2:$B$2,"&gt;="&amp;$L$2,'成品日检表'!$B$2:$B$2,"&lt;"&amp;($M$2+1),'成品日检表'!$C$2:$C$2,E10,'成品日检表'!$I$2:$I$2,"返工")</f>
        <v/>
      </c>
    </row>
    <row r="11">
      <c r="A11" s="15" t="inlineStr">
        <is>
          <t>组付漏扎带</t>
        </is>
      </c>
      <c r="B11" s="2">
        <f>COUNTIFS('成品日检表'!$B$2:$B$2,"&gt;="&amp;$L$2,'成品日检表'!$B$2:$B$2,"&lt;"&amp;($M$2+1),'成品日检表'!$H$2:$H$2,"*h*")</f>
        <v/>
      </c>
      <c r="C11" s="2">
        <f>RANK(B11,$B$4:$B$27,0)</f>
        <v/>
      </c>
      <c r="E11" s="14" t="inlineStr">
        <is>
          <t>U8</t>
        </is>
      </c>
      <c r="F11" s="2">
        <f>COUNTIFS('成品日检表'!$B$2:$B$2,"&gt;="&amp;$L$2,'成品日检表'!$B$2:$B$2,"&lt;"&amp;($M$2+1),'成品日检表'!$C$2:$C$2,E11,'成品日检表'!$I$2:$I$2,"返工")</f>
        <v/>
      </c>
    </row>
    <row r="12">
      <c r="A12" s="15" t="inlineStr">
        <is>
          <t>漏海绵</t>
        </is>
      </c>
      <c r="B12" s="2">
        <f>COUNTIFS('成品日检表'!$B$2:$B$2,"&gt;="&amp;$L$2,'成品日检表'!$B$2:$B$2,"&lt;"&amp;($M$2+1),'成品日检表'!$H$2:$H$2,"*i*")</f>
        <v/>
      </c>
      <c r="C12" s="2">
        <f>RANK(B12,$B$4:$B$27,0)</f>
        <v/>
      </c>
      <c r="E12" s="14" t="inlineStr">
        <is>
          <t>合计</t>
        </is>
      </c>
      <c r="F12" s="2">
        <f>SUM(F4:F11)</f>
        <v/>
      </c>
    </row>
    <row r="13">
      <c r="A13" s="15" t="inlineStr">
        <is>
          <t>组付尺寸不良</t>
        </is>
      </c>
      <c r="B13" s="2">
        <f>COUNTIFS('成品日检表'!$B$2:$B$2,"&gt;="&amp;$L$2,'成品日检表'!$B$2:$B$2,"&lt;"&amp;($M$2+1),'成品日检表'!$H$2:$H$2,"*j*")</f>
        <v/>
      </c>
      <c r="C13" s="2">
        <f>RANK(B13,$B$4:$B$27,0)</f>
        <v/>
      </c>
    </row>
    <row r="14" ht="24.75" customHeight="1" s="45">
      <c r="A14" s="15" t="inlineStr">
        <is>
          <t>走线槽尺寸不良</t>
        </is>
      </c>
      <c r="B14" s="2">
        <f>COUNTIFS('成品日检表'!$B$2:$B$2,"&gt;="&amp;$L$2,'成品日检表'!$B$2:$B$2,"&lt;"&amp;($M$2+1),'成品日检表'!$H$2:$H$2,"*k*")</f>
        <v/>
      </c>
      <c r="C14" s="2">
        <f>RANK(B14,$B$4:$B$27,0)</f>
        <v/>
      </c>
      <c r="H14" s="17" t="n"/>
      <c r="I14" s="17" t="n"/>
      <c r="J14" s="17" t="n"/>
    </row>
    <row r="15">
      <c r="A15" s="15" t="inlineStr">
        <is>
          <t>热缩管不良</t>
        </is>
      </c>
      <c r="B15" s="2">
        <f>COUNTIFS('成品日检表'!$B$2:$B$2,"&gt;="&amp;$L$2,'成品日检表'!$B$2:$B$2,"&lt;"&amp;($M$2+1),'成品日检表'!$H$2:$H$2,"*l*")</f>
        <v/>
      </c>
      <c r="C15" s="2">
        <f>RANK(B15,$B$4:$B$27,0)</f>
        <v/>
      </c>
      <c r="H15" s="29" t="n"/>
      <c r="I15" s="29" t="n"/>
      <c r="J15" s="29" t="n"/>
    </row>
    <row r="16">
      <c r="A16" s="15" t="inlineStr">
        <is>
          <t>端子反插</t>
        </is>
      </c>
      <c r="B16" s="2">
        <f>COUNTIFS('成品日检表'!$B$2:$B$2,"&gt;="&amp;$L$2,'成品日检表'!$B$2:$B$2,"&lt;"&amp;($M$2+1),'成品日检表'!$H$2:$H$2,"*m*")</f>
        <v/>
      </c>
      <c r="C16" s="2">
        <f>RANK(B16,$B$4:$B$27,0)</f>
        <v/>
      </c>
      <c r="H16" s="29" t="n"/>
      <c r="I16" s="23" t="n"/>
      <c r="J16" s="24" t="n"/>
    </row>
    <row r="17">
      <c r="A17" s="15" t="inlineStr">
        <is>
          <t>端子变形</t>
        </is>
      </c>
      <c r="B17" s="2">
        <f>COUNTIFS('成品日检表'!$B$2:$B$2,"&gt;="&amp;$L$2,'成品日检表'!$B$2:$B$2,"&lt;"&amp;($M$2+1),'成品日检表'!$H$2:$H$2,"*n*")</f>
        <v/>
      </c>
      <c r="C17" s="2">
        <f>RANK(B17,$B$4:$B$27,0)</f>
        <v/>
      </c>
      <c r="H17" s="29" t="n"/>
      <c r="I17" s="23" t="n"/>
      <c r="J17" s="25" t="n"/>
      <c r="M17" s="25">
        <f>22/133</f>
        <v/>
      </c>
    </row>
    <row r="18">
      <c r="A18" s="15" t="inlineStr">
        <is>
          <t>漏装塑壳</t>
        </is>
      </c>
      <c r="B18" s="2">
        <f>COUNTIFS('成品日检表'!$B$2:$B$2,"&gt;="&amp;$L$2,'成品日检表'!$B$2:$B$2,"&lt;"&amp;($M$2+1),'成品日检表'!$H$2:$H$2,"*o*")</f>
        <v/>
      </c>
      <c r="C18" s="2">
        <f>RANK(B18,$B$4:$B$27,0)</f>
        <v/>
      </c>
      <c r="H18" s="29" t="n"/>
      <c r="I18" s="23" t="n"/>
      <c r="J18" s="25" t="n"/>
    </row>
    <row r="19">
      <c r="A19" s="15" t="inlineStr">
        <is>
          <t>标签贴错</t>
        </is>
      </c>
      <c r="B19" s="2">
        <f>COUNTIFS('成品日检表'!$B$2:$B$2,"&gt;="&amp;$L$2,'成品日检表'!$B$2:$B$2,"&lt;"&amp;($M$2+1),'成品日检表'!$H$2:$H$2,"*p*")</f>
        <v/>
      </c>
      <c r="C19" s="2">
        <f>RANK(B19,$B$4:$B$27,0)</f>
        <v/>
      </c>
      <c r="H19" s="29" t="n"/>
      <c r="I19" s="23" t="n"/>
      <c r="J19" s="25" t="n"/>
    </row>
    <row r="20" ht="49.5" customHeight="1" s="45">
      <c r="A20" s="15" t="inlineStr">
        <is>
          <t>塑壳用错（国产与进口混用或用相似塑壳）</t>
        </is>
      </c>
      <c r="B20" s="2">
        <f>COUNTIFS('成品日检表'!$B$2:$B$2,"&gt;="&amp;$L$2,'成品日检表'!$B$2:$B$2,"&lt;"&amp;($M$2+1),'成品日检表'!$H$2:$H$2,"*q*")</f>
        <v/>
      </c>
      <c r="C20" s="2">
        <f>RANK(B20,$B$4:$B$27,0)</f>
        <v/>
      </c>
      <c r="H20" s="29" t="n"/>
      <c r="I20" s="23" t="n"/>
      <c r="J20" s="23" t="n"/>
    </row>
    <row r="21">
      <c r="A21" s="15" t="inlineStr">
        <is>
          <t>护套用错</t>
        </is>
      </c>
      <c r="B21" s="2">
        <f>COUNTIFS('成品日检表'!$B$2:$B$2,"&gt;="&amp;$L$2,'成品日检表'!$B$2:$B$2,"&lt;"&amp;($M$2+1),'成品日检表'!$H$2:$H$2,"*r*")</f>
        <v/>
      </c>
      <c r="C21" s="2">
        <f>RANK(B21,$B$4:$B$27,0)</f>
        <v/>
      </c>
      <c r="H21" s="29" t="n"/>
      <c r="I21" s="23" t="n"/>
      <c r="J21" s="25" t="n"/>
    </row>
    <row r="22">
      <c r="A22" s="15" t="inlineStr">
        <is>
          <t>扎带松</t>
        </is>
      </c>
      <c r="B22" s="2">
        <f>COUNTIFS('成品日检表'!$B$2:$B$2,"&gt;="&amp;$L$2,'成品日检表'!$B$2:$B$2,"&lt;"&amp;($M$2+1),'成品日检表'!$H$2:$H$2,"*s*")</f>
        <v/>
      </c>
      <c r="C22" s="2">
        <f>RANK(B22,$B$4:$B$27,0)</f>
        <v/>
      </c>
      <c r="H22" s="29" t="n"/>
      <c r="I22" s="23" t="n"/>
      <c r="J22" s="25" t="n"/>
    </row>
    <row r="23">
      <c r="A23" s="15" t="inlineStr">
        <is>
          <t>线剪断</t>
        </is>
      </c>
      <c r="B23" s="2">
        <f>COUNTIFS('成品日检表'!$B$2:$B$2,"&gt;="&amp;$L$2,'成品日检表'!$B$2:$B$2,"&lt;"&amp;($M$2+1),'成品日检表'!$H$2:$H$2,"*t*")</f>
        <v/>
      </c>
      <c r="C23" s="2">
        <f>RANK(B23,$B$4:$B$27,0)</f>
        <v/>
      </c>
      <c r="H23" s="29" t="n"/>
      <c r="I23" s="23" t="n"/>
      <c r="J23" s="25" t="n"/>
    </row>
    <row r="24">
      <c r="A24" s="19" t="inlineStr">
        <is>
          <t>防水塞未装到位</t>
        </is>
      </c>
      <c r="B24" s="2">
        <f>COUNTIFS('成品日检表'!$B$2:$B$2,"&gt;="&amp;$L$2,'成品日检表'!$B$2:$B$2,"&lt;"&amp;($M$2+1),'成品日检表'!$H$2:$H$2,"*u*")</f>
        <v/>
      </c>
      <c r="C24" s="2">
        <f>RANK(B24,$B$4:$B$27,0)</f>
        <v/>
      </c>
    </row>
    <row r="25">
      <c r="A25" s="13" t="inlineStr">
        <is>
          <t>塑壳坏</t>
        </is>
      </c>
      <c r="B25" s="2">
        <f>COUNTIFS('成品日检表'!$B$2:$B$2,"&gt;="&amp;$L$2,'成品日检表'!$B$2:$B$2,"&lt;"&amp;($M$2+1),'成品日检表'!$H$2:$H$2,"*v*")</f>
        <v/>
      </c>
      <c r="C25" s="2">
        <f>RANK(B25,$B$4:$B$27,0)</f>
        <v/>
      </c>
    </row>
    <row r="26">
      <c r="A26" s="3" t="inlineStr">
        <is>
          <t>端子浅压</t>
        </is>
      </c>
      <c r="B26" s="2">
        <f>COUNTIFS('成品日检表'!$B$2:$B$2,"&gt;="&amp;$L$2,'成品日检表'!$B$2:$B$2,"&lt;"&amp;($M$2+1),'成品日检表'!$H$2:$H$2,"*w*")</f>
        <v/>
      </c>
      <c r="C26" s="2">
        <f>RANK(B26,$B$4:$B$27,0)</f>
        <v/>
      </c>
    </row>
    <row r="27">
      <c r="A27" s="3" t="inlineStr">
        <is>
          <t>端子深压</t>
        </is>
      </c>
      <c r="B27" s="2">
        <f>COUNTIFS('成品日检表'!$B$2:$B$2,"&gt;="&amp;$L$2,'成品日检表'!$B$2:$B$2,"&lt;"&amp;($M$2+1),'成品日检表'!$H$2:$H$2,"*x*")</f>
        <v/>
      </c>
      <c r="C27" s="2">
        <f>RANK(B27,$B$4:$B$27,0)</f>
        <v/>
      </c>
    </row>
    <row r="28">
      <c r="A28" s="13" t="inlineStr">
        <is>
          <t>合计</t>
        </is>
      </c>
      <c r="B28" s="2">
        <f>SUM(B4:B27)</f>
        <v/>
      </c>
      <c r="C28" s="2" t="n"/>
    </row>
    <row r="30" ht="20.25" customHeight="1" s="45">
      <c r="A30" s="5" t="inlineStr">
        <is>
          <t>本日日期</t>
        </is>
      </c>
      <c r="B30" s="6">
        <f>TODAY()</f>
        <v/>
      </c>
      <c r="C30" s="7" t="n"/>
      <c r="E30" s="10" t="inlineStr">
        <is>
          <t>周别</t>
        </is>
      </c>
      <c r="F30" s="9">
        <f>WEEKNUM(B30,2)</f>
        <v/>
      </c>
    </row>
    <row r="31">
      <c r="L31" t="inlineStr">
        <is>
          <t>周开始（含）</t>
        </is>
      </c>
      <c r="M31" t="inlineStr">
        <is>
          <t>周结束（含）</t>
        </is>
      </c>
    </row>
    <row r="32" ht="22.5" customHeight="1" s="45">
      <c r="A32" s="10" t="n">
        <v>5</v>
      </c>
      <c r="B32" s="10" t="inlineStr">
        <is>
          <t>周出货抽检不良统计表</t>
        </is>
      </c>
      <c r="E32" s="12">
        <f>$A$32</f>
        <v/>
      </c>
      <c r="F32" s="12" t="inlineStr">
        <is>
          <t>周各组返工批次统计</t>
        </is>
      </c>
      <c r="H32" s="12">
        <f>$A$32</f>
        <v/>
      </c>
      <c r="I32" s="21" t="inlineStr">
        <is>
          <t>周检验数据表</t>
        </is>
      </c>
      <c r="J32" s="21" t="n"/>
      <c r="L32" s="46" t="n">
        <v>46048</v>
      </c>
      <c r="M32" s="46" t="n">
        <v>46054</v>
      </c>
    </row>
    <row r="33">
      <c r="A33" s="13" t="inlineStr">
        <is>
          <t>项              目</t>
        </is>
      </c>
      <c r="B33" s="14" t="inlineStr">
        <is>
          <t>不良批次</t>
        </is>
      </c>
      <c r="C33" s="14" t="inlineStr">
        <is>
          <t>排名</t>
        </is>
      </c>
      <c r="E33" s="14" t="inlineStr">
        <is>
          <t>组别</t>
        </is>
      </c>
      <c r="F33" s="14" t="inlineStr">
        <is>
          <t>返工批次</t>
        </is>
      </c>
      <c r="H33" s="14" t="inlineStr">
        <is>
          <t>检验数量</t>
        </is>
      </c>
      <c r="I33" s="14" t="inlineStr">
        <is>
          <t>抽检数</t>
        </is>
      </c>
      <c r="J33" s="14" t="inlineStr">
        <is>
          <t>不良数</t>
        </is>
      </c>
      <c r="K33" s="14" t="inlineStr">
        <is>
          <t>不良率</t>
        </is>
      </c>
    </row>
    <row r="34">
      <c r="A34" s="15" t="inlineStr">
        <is>
          <t>端子包角不良</t>
        </is>
      </c>
      <c r="B34" s="2">
        <f>COUNTIFS('成品日检表'!$B$2:$B$2,"&gt;="&amp;$L$32,'成品日检表'!$B$2:$B$2,"&lt;"&amp;($M$32+1),'成品日检表'!$H$2:$H$2,"*a*")</f>
        <v/>
      </c>
      <c r="C34" s="2">
        <f>RANK(B34,$B$34:$B$57,0)</f>
        <v/>
      </c>
      <c r="E34" s="14" t="inlineStr">
        <is>
          <t>U1</t>
        </is>
      </c>
      <c r="F34" s="2">
        <f>COUNTIFS('成品日检表'!$B$2:$B$2,"&gt;="&amp;$L$32,'成品日检表'!$B$2:$B$2,"&lt;"&amp;($M$32+1),'成品日检表'!$C$2:$C$2,E34,'成品日检表'!$I$2:$I$2,"返工")</f>
        <v/>
      </c>
      <c r="H34" s="2">
        <f>SUMIFS('成品日检表'!$E$2:$E$2,'成品日检表'!$B$2:$B$2,"&gt;="&amp;$L$32,'成品日检表'!$B$2:$B$2,"&lt;"&amp;($M$32+1))</f>
        <v/>
      </c>
      <c r="I34" s="2">
        <f>SUMIFS('成品日检表'!$F$2:$F$2,'成品日检表'!$B$2:$B$2,"&gt;="&amp;$L$32,'成品日检表'!$B$2:$B$2,"&lt;"&amp;($M$32+1))</f>
        <v/>
      </c>
      <c r="J34" s="2">
        <f>SUMIFS('成品日检表'!$G$2:$G$2,'成品日检表'!$B$2:$B$2,"&gt;="&amp;$L$32,'成品日检表'!$B$2:$B$2,"&lt;"&amp;($M$32+1))</f>
        <v/>
      </c>
      <c r="K34" s="22">
        <f>IFERROR(J34/I34,0)</f>
        <v/>
      </c>
    </row>
    <row r="35">
      <c r="A35" s="15" t="inlineStr">
        <is>
          <t>走线槽漏扎带</t>
        </is>
      </c>
      <c r="B35" s="2">
        <f>COUNTIFS('成品日检表'!$B$2:$B$2,"&gt;="&amp;$L$32,'成品日检表'!$B$2:$B$2,"&lt;"&amp;($M$32+1),'成品日检表'!$H$2:$H$2,"*b*")</f>
        <v/>
      </c>
      <c r="C35" s="2">
        <f>RANK(B35,$B$34:$B$57,0)</f>
        <v/>
      </c>
      <c r="E35" s="14" t="inlineStr">
        <is>
          <t>U2</t>
        </is>
      </c>
      <c r="F35" s="2">
        <f>COUNTIFS('成品日检表'!$B$2:$B$2,"&gt;="&amp;$L$32,'成品日检表'!$B$2:$B$2,"&lt;"&amp;($M$32+1),'成品日检表'!$C$2:$C$2,E35,'成品日检表'!$I$2:$I$2,"返工")</f>
        <v/>
      </c>
    </row>
    <row r="36">
      <c r="A36" s="15" t="inlineStr">
        <is>
          <t>漏锁片</t>
        </is>
      </c>
      <c r="B36" s="2">
        <f>COUNTIFS('成品日检表'!$B$2:$B$2,"&gt;="&amp;$L$32,'成品日检表'!$B$2:$B$2,"&lt;"&amp;($M$32+1),'成品日检表'!$H$2:$H$2,"*c*")</f>
        <v/>
      </c>
      <c r="C36" s="2">
        <f>RANK(B36,$B$34:$B$57,0)</f>
        <v/>
      </c>
      <c r="E36" s="14" t="inlineStr">
        <is>
          <t>U3</t>
        </is>
      </c>
      <c r="F36" s="2">
        <f>COUNTIFS('成品日检表'!$B$2:$B$2,"&gt;="&amp;$L$32,'成品日检表'!$B$2:$B$2,"&lt;"&amp;($M$32+1),'成品日检表'!$C$2:$C$2,E36,'成品日检表'!$I$2:$I$2,"返工")</f>
        <v/>
      </c>
    </row>
    <row r="37">
      <c r="A37" s="15" t="inlineStr">
        <is>
          <t>漏扣卡扣</t>
        </is>
      </c>
      <c r="B37" s="2">
        <f>COUNTIFS('成品日检表'!$B$2:$B$2,"&gt;="&amp;$L$32,'成品日检表'!$B$2:$B$2,"&lt;"&amp;($M$32+1),'成品日检表'!$H$2:$H$2,"*d*")</f>
        <v/>
      </c>
      <c r="C37" s="2">
        <f>RANK(B37,$B$34:$B$57,0)</f>
        <v/>
      </c>
      <c r="E37" s="14" t="inlineStr">
        <is>
          <t>U4</t>
        </is>
      </c>
      <c r="F37" s="2">
        <f>COUNTIFS('成品日检表'!$B$2:$B$2,"&gt;="&amp;$L$32,'成品日检表'!$B$2:$B$2,"&lt;"&amp;($M$32+1),'成品日检表'!$C$2:$C$2,E37,'成品日检表'!$I$2:$I$2,"返工")</f>
        <v/>
      </c>
    </row>
    <row r="38">
      <c r="A38" s="15" t="inlineStr">
        <is>
          <t>漏剪扎带</t>
        </is>
      </c>
      <c r="B38" s="2">
        <f>COUNTIFS('成品日检表'!$B$2:$B$2,"&gt;="&amp;$L$32,'成品日检表'!$B$2:$B$2,"&lt;"&amp;($M$32+1),'成品日检表'!$H$2:$H$2,"*e*")</f>
        <v/>
      </c>
      <c r="C38" s="2">
        <f>RANK(B38,$B$34:$B$57,0)</f>
        <v/>
      </c>
      <c r="E38" s="14" t="inlineStr">
        <is>
          <t>U5</t>
        </is>
      </c>
      <c r="F38" s="2">
        <f>COUNTIFS('成品日检表'!$B$2:$B$2,"&gt;="&amp;$L$32,'成品日检表'!$B$2:$B$2,"&lt;"&amp;($M$32+1),'成品日检表'!$C$2:$C$2,E38,'成品日检表'!$I$2:$I$2,"返工")</f>
        <v/>
      </c>
    </row>
    <row r="39">
      <c r="A39" s="15" t="inlineStr">
        <is>
          <t>插入不足</t>
        </is>
      </c>
      <c r="B39" s="2">
        <f>COUNTIFS('成品日检表'!$B$2:$B$2,"&gt;="&amp;$L$32,'成品日检表'!$B$2:$B$2,"&lt;"&amp;($M$32+1),'成品日检表'!$H$2:$H$2,"*f*")</f>
        <v/>
      </c>
      <c r="C39" s="2">
        <f>RANK(B39,$B$34:$B$57,0)</f>
        <v/>
      </c>
      <c r="E39" s="14" t="inlineStr">
        <is>
          <t>U6</t>
        </is>
      </c>
      <c r="F39" s="2">
        <f>COUNTIFS('成品日检表'!$B$2:$B$2,"&gt;="&amp;$L$32,'成品日检表'!$B$2:$B$2,"&lt;"&amp;($M$32+1),'成品日检表'!$C$2:$C$2,E39,'成品日检表'!$I$2:$I$2,"返工")</f>
        <v/>
      </c>
    </row>
    <row r="40">
      <c r="A40" s="15" t="inlineStr">
        <is>
          <t>漏胶</t>
        </is>
      </c>
      <c r="B40" s="2">
        <f>COUNTIFS('成品日检表'!$B$2:$B$2,"&gt;="&amp;$L$32,'成品日检表'!$B$2:$B$2,"&lt;"&amp;($M$32+1),'成品日检表'!$H$2:$H$2,"*g*")</f>
        <v/>
      </c>
      <c r="C40" s="2">
        <f>RANK(B40,$B$34:$B$57,0)</f>
        <v/>
      </c>
      <c r="E40" s="14" t="inlineStr">
        <is>
          <t>U7</t>
        </is>
      </c>
      <c r="F40" s="2">
        <f>COUNTIFS('成品日检表'!$B$2:$B$2,"&gt;="&amp;$L$32,'成品日检表'!$B$2:$B$2,"&lt;"&amp;($M$32+1),'成品日检表'!$C$2:$C$2,E40,'成品日检表'!$I$2:$I$2,"返工")</f>
        <v/>
      </c>
    </row>
    <row r="41">
      <c r="A41" s="15" t="inlineStr">
        <is>
          <t>组付漏扎带</t>
        </is>
      </c>
      <c r="B41" s="2">
        <f>COUNTIFS('成品日检表'!$B$2:$B$2,"&gt;="&amp;$L$32,'成品日检表'!$B$2:$B$2,"&lt;"&amp;($M$32+1),'成品日检表'!$H$2:$H$2,"*h*")</f>
        <v/>
      </c>
      <c r="C41" s="2">
        <f>RANK(B41,$B$34:$B$57,0)</f>
        <v/>
      </c>
      <c r="E41" s="14" t="inlineStr">
        <is>
          <t>U8</t>
        </is>
      </c>
      <c r="F41" s="2">
        <f>COUNTIFS('成品日检表'!$B$2:$B$2,"&gt;="&amp;$L$32,'成品日检表'!$B$2:$B$2,"&lt;"&amp;($M$32+1),'成品日检表'!$C$2:$C$2,E41,'成品日检表'!$I$2:$I$2,"返工")</f>
        <v/>
      </c>
    </row>
    <row r="42">
      <c r="A42" s="15" t="inlineStr">
        <is>
          <t>漏海绵</t>
        </is>
      </c>
      <c r="B42" s="2">
        <f>COUNTIFS('成品日检表'!$B$2:$B$2,"&gt;="&amp;$L$32,'成品日检表'!$B$2:$B$2,"&lt;"&amp;($M$32+1),'成品日检表'!$H$2:$H$2,"*i*")</f>
        <v/>
      </c>
      <c r="C42" s="2">
        <f>RANK(B42,$B$34:$B$57,0)</f>
        <v/>
      </c>
      <c r="E42" s="14" t="inlineStr">
        <is>
          <t>合计</t>
        </is>
      </c>
      <c r="F42" s="2">
        <f>SUM(F34:F41)</f>
        <v/>
      </c>
    </row>
    <row r="43">
      <c r="A43" s="15" t="inlineStr">
        <is>
          <t>组付尺寸不良</t>
        </is>
      </c>
      <c r="B43" s="2">
        <f>COUNTIFS('成品日检表'!$B$2:$B$2,"&gt;="&amp;$L$32,'成品日检表'!$B$2:$B$2,"&lt;"&amp;($M$32+1),'成品日检表'!$H$2:$H$2,"*j*")</f>
        <v/>
      </c>
      <c r="C43" s="2">
        <f>RANK(B43,$B$34:$B$57,0)</f>
        <v/>
      </c>
    </row>
    <row r="44">
      <c r="A44" s="15" t="inlineStr">
        <is>
          <t>走线槽尺寸不良</t>
        </is>
      </c>
      <c r="B44" s="2">
        <f>COUNTIFS('成品日检表'!$B$2:$B$2,"&gt;="&amp;$L$32,'成品日检表'!$B$2:$B$2,"&lt;"&amp;($M$32+1),'成品日检表'!$H$2:$H$2,"*k*")</f>
        <v/>
      </c>
      <c r="C44" s="2">
        <f>RANK(B44,$B$34:$B$57,0)</f>
        <v/>
      </c>
    </row>
    <row r="45">
      <c r="A45" s="15" t="inlineStr">
        <is>
          <t>热缩管不良</t>
        </is>
      </c>
      <c r="B45" s="2">
        <f>COUNTIFS('成品日检表'!$B$2:$B$2,"&gt;="&amp;$L$32,'成品日检表'!$B$2:$B$2,"&lt;"&amp;($M$32+1),'成品日检表'!$H$2:$H$2,"*l*")</f>
        <v/>
      </c>
      <c r="C45" s="2">
        <f>RANK(B45,$B$34:$B$57,0)</f>
        <v/>
      </c>
    </row>
    <row r="46">
      <c r="A46" s="15" t="inlineStr">
        <is>
          <t>端子反插</t>
        </is>
      </c>
      <c r="B46" s="2">
        <f>COUNTIFS('成品日检表'!$B$2:$B$2,"&gt;="&amp;$L$32,'成品日检表'!$B$2:$B$2,"&lt;"&amp;($M$32+1),'成品日检表'!$H$2:$H$2,"*m*")</f>
        <v/>
      </c>
      <c r="C46" s="2">
        <f>RANK(B46,$B$34:$B$57,0)</f>
        <v/>
      </c>
    </row>
    <row r="47">
      <c r="A47" s="15" t="inlineStr">
        <is>
          <t>端子变形</t>
        </is>
      </c>
      <c r="B47" s="2">
        <f>COUNTIFS('成品日检表'!$B$2:$B$2,"&gt;="&amp;$L$32,'成品日检表'!$B$2:$B$2,"&lt;"&amp;($M$32+1),'成品日检表'!$H$2:$H$2,"*n*")</f>
        <v/>
      </c>
      <c r="C47" s="2">
        <f>RANK(B47,$B$34:$B$57,0)</f>
        <v/>
      </c>
    </row>
    <row r="48">
      <c r="A48" s="15" t="inlineStr">
        <is>
          <t>漏装塑壳</t>
        </is>
      </c>
      <c r="B48" s="2">
        <f>COUNTIFS('成品日检表'!$B$2:$B$2,"&gt;="&amp;$L$32,'成品日检表'!$B$2:$B$2,"&lt;"&amp;($M$32+1),'成品日检表'!$H$2:$H$2,"*o*")</f>
        <v/>
      </c>
      <c r="C48" s="2">
        <f>RANK(B48,$B$34:$B$57,0)</f>
        <v/>
      </c>
      <c r="G48" s="24" t="n"/>
      <c r="J48" s="24" t="n"/>
    </row>
    <row r="49">
      <c r="A49" s="15" t="inlineStr">
        <is>
          <t>标签贴错</t>
        </is>
      </c>
      <c r="B49" s="2">
        <f>COUNTIFS('成品日检表'!$B$2:$B$2,"&gt;="&amp;$L$32,'成品日检表'!$B$2:$B$2,"&lt;"&amp;($M$32+1),'成品日检表'!$H$2:$H$2,"*p*")</f>
        <v/>
      </c>
      <c r="C49" s="2">
        <f>RANK(B49,$B$34:$B$57,0)</f>
        <v/>
      </c>
    </row>
    <row r="50" ht="49.5" customHeight="1" s="45">
      <c r="A50" s="15" t="inlineStr">
        <is>
          <t>塑壳用错（国产与进口混用或用相似塑壳）</t>
        </is>
      </c>
      <c r="B50" s="2">
        <f>COUNTIFS('成品日检表'!$B$2:$B$2,"&gt;="&amp;$L$32,'成品日检表'!$B$2:$B$2,"&lt;"&amp;($M$32+1),'成品日检表'!$H$2:$H$2,"*q*")</f>
        <v/>
      </c>
      <c r="C50" s="2">
        <f>RANK(B50,$B$34:$B$57,0)</f>
        <v/>
      </c>
      <c r="J50" s="29" t="n"/>
    </row>
    <row r="51">
      <c r="A51" s="15" t="inlineStr">
        <is>
          <t>护套用错</t>
        </is>
      </c>
      <c r="B51" s="2">
        <f>COUNTIFS('成品日检表'!$B$2:$B$2,"&gt;="&amp;$L$32,'成品日检表'!$B$2:$B$2,"&lt;"&amp;($M$32+1),'成品日检表'!$H$2:$H$2,"*r*")</f>
        <v/>
      </c>
      <c r="C51" s="2">
        <f>RANK(B51,$B$34:$B$57,0)</f>
        <v/>
      </c>
    </row>
    <row r="52">
      <c r="A52" s="15" t="inlineStr">
        <is>
          <t>扎带松</t>
        </is>
      </c>
      <c r="B52" s="2">
        <f>COUNTIFS('成品日检表'!$B$2:$B$2,"&gt;="&amp;$L$32,'成品日检表'!$B$2:$B$2,"&lt;"&amp;($M$32+1),'成品日检表'!$H$2:$H$2,"*s*")</f>
        <v/>
      </c>
      <c r="C52" s="2">
        <f>RANK(B52,$B$34:$B$57,0)</f>
        <v/>
      </c>
    </row>
    <row r="53">
      <c r="A53" s="15" t="inlineStr">
        <is>
          <t>线剪断</t>
        </is>
      </c>
      <c r="B53" s="2">
        <f>COUNTIFS('成品日检表'!$B$2:$B$2,"&gt;="&amp;$L$32,'成品日检表'!$B$2:$B$2,"&lt;"&amp;($M$32+1),'成品日检表'!$H$2:$H$2,"*t*")</f>
        <v/>
      </c>
      <c r="C53" s="2">
        <f>RANK(B53,$B$34:$B$57,0)</f>
        <v/>
      </c>
    </row>
    <row r="54">
      <c r="A54" s="19" t="inlineStr">
        <is>
          <t>防水塞未装到位</t>
        </is>
      </c>
      <c r="B54" s="2">
        <f>COUNTIFS('成品日检表'!$B$2:$B$2,"&gt;="&amp;$L$32,'成品日检表'!$B$2:$B$2,"&lt;"&amp;($M$32+1),'成品日检表'!$H$2:$H$2,"*u*")</f>
        <v/>
      </c>
      <c r="C54" s="2">
        <f>RANK(B54,$B$34:$B$57,0)</f>
        <v/>
      </c>
    </row>
    <row r="55">
      <c r="A55" s="13" t="inlineStr">
        <is>
          <t>塑壳坏</t>
        </is>
      </c>
      <c r="B55" s="2">
        <f>COUNTIFS('成品日检表'!$B$2:$B$2,"&gt;="&amp;$L$32,'成品日检表'!$B$2:$B$2,"&lt;"&amp;($M$32+1),'成品日检表'!$H$2:$H$2,"*v*")</f>
        <v/>
      </c>
      <c r="C55" s="2">
        <f>RANK(B55,$B$34:$B$57,0)</f>
        <v/>
      </c>
    </row>
    <row r="56">
      <c r="A56" s="3" t="inlineStr">
        <is>
          <t>端子浅压</t>
        </is>
      </c>
      <c r="B56" s="2">
        <f>COUNTIFS('成品日检表'!$B$2:$B$2,"&gt;="&amp;$L$32,'成品日检表'!$B$2:$B$2,"&lt;"&amp;($M$32+1),'成品日检表'!$H$2:$H$2,"*w*")</f>
        <v/>
      </c>
      <c r="C56" s="2">
        <f>RANK(B56,$B$34:$B$57,0)</f>
        <v/>
      </c>
    </row>
    <row r="57">
      <c r="A57" s="3" t="inlineStr">
        <is>
          <t>端子深压</t>
        </is>
      </c>
      <c r="B57" s="2">
        <f>COUNTIFS('成品日检表'!$B$2:$B$2,"&gt;="&amp;$L$32,'成品日检表'!$B$2:$B$2,"&lt;"&amp;($M$32+1),'成品日检表'!$H$2:$H$2,"*x*")</f>
        <v/>
      </c>
      <c r="C57" s="2">
        <f>RANK(B57,$B$34:$B$57,0)</f>
        <v/>
      </c>
    </row>
    <row r="58">
      <c r="A58" s="13" t="inlineStr">
        <is>
          <t>合计</t>
        </is>
      </c>
      <c r="B58" s="2">
        <f>SUM(B34:B57)</f>
        <v/>
      </c>
      <c r="C58" s="2" t="n"/>
    </row>
    <row r="61">
      <c r="A61" t="inlineStr">
        <is>
          <t>项目统计为出现批次；不良率=不良件数/抽检件数。逐项已知数量见标准报表。</t>
        </is>
      </c>
    </row>
  </sheetData>
  <mergeCells count="2">
    <mergeCell ref="B2:C2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5"/>
  <sheetViews>
    <sheetView workbookViewId="0">
      <selection activeCell="J44" sqref="J44"/>
    </sheetView>
  </sheetViews>
  <sheetFormatPr baseColWidth="8" defaultColWidth="11.3333333333333" defaultRowHeight="16.5"/>
  <cols>
    <col width="11.3333333333333" customWidth="1" style="25" min="1" max="1"/>
    <col width="30" customWidth="1" style="25" min="2" max="2"/>
    <col width="11.3333333333333" customWidth="1" style="25" min="3" max="16384"/>
  </cols>
  <sheetData>
    <row r="2">
      <c r="A2" s="2" t="n">
        <v>1</v>
      </c>
      <c r="B2" s="3" t="inlineStr">
        <is>
          <t>端子包角不良</t>
        </is>
      </c>
    </row>
    <row r="3">
      <c r="A3" s="2" t="n">
        <v>2</v>
      </c>
      <c r="B3" s="3" t="inlineStr">
        <is>
          <t>走线槽漏扎带</t>
        </is>
      </c>
    </row>
    <row r="4">
      <c r="A4" s="2" t="n">
        <v>3</v>
      </c>
      <c r="B4" s="3" t="inlineStr">
        <is>
          <t>漏锁片</t>
        </is>
      </c>
    </row>
    <row r="5">
      <c r="A5" s="2" t="n">
        <v>4</v>
      </c>
      <c r="B5" s="3" t="inlineStr">
        <is>
          <t>漏扣卡扣</t>
        </is>
      </c>
    </row>
    <row r="6">
      <c r="A6" s="2" t="n">
        <v>5</v>
      </c>
      <c r="B6" s="3" t="inlineStr">
        <is>
          <t>漏剪扎带</t>
        </is>
      </c>
    </row>
    <row r="7">
      <c r="A7" s="2" t="n">
        <v>6</v>
      </c>
      <c r="B7" s="3" t="inlineStr">
        <is>
          <t>插入不足</t>
        </is>
      </c>
    </row>
    <row r="8">
      <c r="A8" s="2" t="n">
        <v>7</v>
      </c>
      <c r="B8" s="3" t="inlineStr">
        <is>
          <t>漏胶</t>
        </is>
      </c>
    </row>
    <row r="9">
      <c r="A9" s="2" t="n">
        <v>8</v>
      </c>
      <c r="B9" s="3" t="inlineStr">
        <is>
          <t>组付漏扎带</t>
        </is>
      </c>
    </row>
    <row r="10">
      <c r="A10" s="2" t="n">
        <v>9</v>
      </c>
      <c r="B10" s="3" t="inlineStr">
        <is>
          <t>漏海绵</t>
        </is>
      </c>
    </row>
    <row r="11">
      <c r="A11" s="2" t="n">
        <v>10</v>
      </c>
      <c r="B11" s="3" t="inlineStr">
        <is>
          <t>组付尺寸不良</t>
        </is>
      </c>
    </row>
    <row r="12">
      <c r="A12" s="2" t="n">
        <v>11</v>
      </c>
      <c r="B12" s="3" t="inlineStr">
        <is>
          <t>走线槽尺寸不良</t>
        </is>
      </c>
    </row>
    <row r="13">
      <c r="A13" s="2" t="n">
        <v>12</v>
      </c>
      <c r="B13" s="3" t="inlineStr">
        <is>
          <t>热缩管不良</t>
        </is>
      </c>
    </row>
    <row r="14">
      <c r="A14" s="2" t="n">
        <v>13</v>
      </c>
      <c r="B14" s="3" t="inlineStr">
        <is>
          <t>端子反插</t>
        </is>
      </c>
    </row>
    <row r="15">
      <c r="A15" s="2" t="n">
        <v>14</v>
      </c>
      <c r="B15" s="3" t="inlineStr">
        <is>
          <t>端子变形</t>
        </is>
      </c>
    </row>
    <row r="16">
      <c r="A16" s="2" t="n">
        <v>15</v>
      </c>
      <c r="B16" s="3" t="inlineStr">
        <is>
          <t>漏装塑壳</t>
        </is>
      </c>
    </row>
    <row r="17">
      <c r="A17" s="2" t="n">
        <v>16</v>
      </c>
      <c r="B17" s="3" t="inlineStr">
        <is>
          <t>标签贴错</t>
        </is>
      </c>
    </row>
    <row r="18">
      <c r="A18" s="2" t="n">
        <v>17</v>
      </c>
      <c r="B18" s="3" t="inlineStr">
        <is>
          <t>塑壳用错（国产与进口混用或用相似塑壳）</t>
        </is>
      </c>
    </row>
    <row r="19">
      <c r="A19" s="2" t="n">
        <v>18</v>
      </c>
      <c r="B19" s="3" t="inlineStr">
        <is>
          <t>护套用错</t>
        </is>
      </c>
    </row>
    <row r="20">
      <c r="A20" s="2" t="n">
        <v>19</v>
      </c>
      <c r="B20" s="3" t="inlineStr">
        <is>
          <t>扎带松</t>
        </is>
      </c>
    </row>
    <row r="21">
      <c r="A21" s="2" t="n">
        <v>20</v>
      </c>
      <c r="B21" s="3" t="inlineStr">
        <is>
          <t>线剪断</t>
        </is>
      </c>
    </row>
    <row r="22">
      <c r="A22" s="2" t="n">
        <v>21</v>
      </c>
      <c r="B22" s="3" t="inlineStr">
        <is>
          <t>防水塞未装到位</t>
        </is>
      </c>
    </row>
    <row r="23">
      <c r="A23" s="2" t="n">
        <v>22</v>
      </c>
      <c r="B23" s="3" t="inlineStr">
        <is>
          <t>塑壳坏</t>
        </is>
      </c>
    </row>
    <row r="24">
      <c r="A24" s="2" t="n">
        <v>23</v>
      </c>
      <c r="B24" s="3" t="inlineStr">
        <is>
          <t>端子浅压</t>
        </is>
      </c>
    </row>
    <row r="25">
      <c r="A25" s="2" t="n">
        <v>24</v>
      </c>
      <c r="B25" s="3" t="inlineStr">
        <is>
          <t>端子深压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Product-QC-Daily</dc:creator>
  <dcterms:created xsi:type="dcterms:W3CDTF">2024-02-01T17:44:00Z</dcterms:created>
  <dcterms:modified xsi:type="dcterms:W3CDTF">2026-10-02T18:03:18Z</dcterms:modified>
  <cp:lastModifiedBy>Product-QC-Daily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2052-12.1.0.16250</vt:lpwstr>
  </property>
</Properties>
</file>